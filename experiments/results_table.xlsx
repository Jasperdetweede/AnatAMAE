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sper\School\Universiteit\Year_3\Research_Project\Code\anatamae\"/>
    </mc:Choice>
  </mc:AlternateContent>
  <xr:revisionPtr revIDLastSave="0" documentId="13_ncr:1_{68DC101A-2AD4-44AB-981E-002B78B258B2}" xr6:coauthVersionLast="47" xr6:coauthVersionMax="47" xr10:uidLastSave="{00000000-0000-0000-0000-000000000000}"/>
  <bookViews>
    <workbookView xWindow="-120" yWindow="-120" windowWidth="38640" windowHeight="21240" xr2:uid="{B468ABB4-7380-47E3-A26D-E113350E461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" i="1" l="1"/>
  <c r="M30" i="1"/>
  <c r="L30" i="1"/>
  <c r="K30" i="1"/>
  <c r="J30" i="1"/>
  <c r="M20" i="1"/>
  <c r="L20" i="1"/>
  <c r="K20" i="1"/>
  <c r="J20" i="1"/>
  <c r="M10" i="1"/>
  <c r="L10" i="1"/>
  <c r="K10" i="1"/>
  <c r="J10" i="1"/>
  <c r="F9" i="1"/>
  <c r="D29" i="1"/>
  <c r="E29" i="1"/>
  <c r="F29" i="1"/>
  <c r="C29" i="1"/>
  <c r="D19" i="1"/>
  <c r="E19" i="1"/>
  <c r="F19" i="1"/>
  <c r="C19" i="1"/>
  <c r="D9" i="1"/>
  <c r="E9" i="1"/>
  <c r="C9" i="1"/>
</calcChain>
</file>

<file path=xl/sharedStrings.xml><?xml version="1.0" encoding="utf-8"?>
<sst xmlns="http://schemas.openxmlformats.org/spreadsheetml/2006/main" count="108" uniqueCount="34">
  <si>
    <t>Run1:</t>
  </si>
  <si>
    <t>Run2:</t>
  </si>
  <si>
    <t>Run3:</t>
  </si>
  <si>
    <t xml:space="preserve">Avg: </t>
  </si>
  <si>
    <r>
      <rPr>
        <b/>
        <sz val="11"/>
        <rFont val="Calibri"/>
        <family val="2"/>
        <scheme val="minor"/>
      </rPr>
      <t xml:space="preserve">8px </t>
    </r>
    <r>
      <rPr>
        <sz val="11"/>
        <rFont val="Calibri"/>
        <family val="2"/>
        <scheme val="minor"/>
      </rPr>
      <t>// Strategy:</t>
    </r>
  </si>
  <si>
    <r>
      <rPr>
        <b/>
        <sz val="11"/>
        <rFont val="Calibri"/>
        <family val="2"/>
        <scheme val="minor"/>
      </rPr>
      <t>16px</t>
    </r>
    <r>
      <rPr>
        <sz val="11"/>
        <rFont val="Calibri"/>
        <family val="2"/>
        <scheme val="minor"/>
      </rPr>
      <t xml:space="preserve"> // Strategy:</t>
    </r>
  </si>
  <si>
    <r>
      <rPr>
        <b/>
        <sz val="11"/>
        <rFont val="Calibri"/>
        <family val="2"/>
        <scheme val="minor"/>
      </rPr>
      <t>32px</t>
    </r>
    <r>
      <rPr>
        <sz val="11"/>
        <rFont val="Calibri"/>
        <family val="2"/>
        <scheme val="minor"/>
      </rPr>
      <t xml:space="preserve"> // Strategy:</t>
    </r>
  </si>
  <si>
    <t>Run4:</t>
  </si>
  <si>
    <t>Run5:</t>
  </si>
  <si>
    <t>No masking</t>
  </si>
  <si>
    <t>Full masking</t>
  </si>
  <si>
    <t>Background masking</t>
  </si>
  <si>
    <t xml:space="preserve">ROI masking </t>
  </si>
  <si>
    <t>Patch size</t>
  </si>
  <si>
    <t>8px</t>
  </si>
  <si>
    <t>16px</t>
  </si>
  <si>
    <t>32px</t>
  </si>
  <si>
    <t>ROI masking</t>
  </si>
  <si>
    <t>Run 1</t>
  </si>
  <si>
    <t>Run 2</t>
  </si>
  <si>
    <t>Run 3</t>
  </si>
  <si>
    <t>Run 4</t>
  </si>
  <si>
    <t>Run 5</t>
  </si>
  <si>
    <t xml:space="preserve">Average </t>
  </si>
  <si>
    <r>
      <t>0.69138671 ±0.0107</t>
    </r>
    <r>
      <rPr>
        <sz val="11"/>
        <color rgb="FF000000"/>
        <rFont val="Arial"/>
        <family val="2"/>
      </rPr>
      <t> (±1.5%) [</t>
    </r>
    <r>
      <rPr>
        <b/>
        <sz val="11"/>
        <color rgb="FF008000"/>
        <rFont val="Arial"/>
        <family val="2"/>
      </rPr>
      <t>0.681 – 0.702</t>
    </r>
    <r>
      <rPr>
        <sz val="11"/>
        <color rgb="FF000000"/>
        <rFont val="Arial"/>
        <family val="2"/>
      </rPr>
      <t>]</t>
    </r>
  </si>
  <si>
    <r>
      <t>0.69282798 ±0.0112</t>
    </r>
    <r>
      <rPr>
        <sz val="11"/>
        <color rgb="FF000000"/>
        <rFont val="Arial"/>
        <family val="2"/>
      </rPr>
      <t> (±1.6%) [</t>
    </r>
    <r>
      <rPr>
        <b/>
        <sz val="11"/>
        <color rgb="FF008000"/>
        <rFont val="Arial"/>
        <family val="2"/>
      </rPr>
      <t>0.682 – 0.704</t>
    </r>
    <r>
      <rPr>
        <sz val="11"/>
        <color rgb="FF000000"/>
        <rFont val="Arial"/>
        <family val="2"/>
      </rPr>
      <t>]</t>
    </r>
  </si>
  <si>
    <r>
      <t>0.71751464 ±0.00434</t>
    </r>
    <r>
      <rPr>
        <sz val="11"/>
        <color rgb="FF000000"/>
        <rFont val="Arial"/>
        <family val="2"/>
      </rPr>
      <t> (±0.6%) [</t>
    </r>
    <r>
      <rPr>
        <b/>
        <sz val="11"/>
        <color rgb="FF008000"/>
        <rFont val="Arial"/>
        <family val="2"/>
      </rPr>
      <t>0.713 – 0.722</t>
    </r>
    <r>
      <rPr>
        <sz val="11"/>
        <color rgb="FF000000"/>
        <rFont val="Arial"/>
        <family val="2"/>
      </rPr>
      <t>]</t>
    </r>
  </si>
  <si>
    <r>
      <t>0.714847582 ±0.0115</t>
    </r>
    <r>
      <rPr>
        <sz val="11"/>
        <color rgb="FF000000"/>
        <rFont val="Arial"/>
        <family val="2"/>
      </rPr>
      <t> (±1.6%) [</t>
    </r>
    <r>
      <rPr>
        <b/>
        <sz val="11"/>
        <color rgb="FF008000"/>
        <rFont val="Arial"/>
        <family val="2"/>
      </rPr>
      <t>0.703 – 0.726</t>
    </r>
    <r>
      <rPr>
        <sz val="11"/>
        <color rgb="FF000000"/>
        <rFont val="Arial"/>
        <family val="2"/>
      </rPr>
      <t>]</t>
    </r>
  </si>
  <si>
    <r>
      <t>0.70457611 ±0.00882</t>
    </r>
    <r>
      <rPr>
        <sz val="11"/>
        <color rgb="FF000000"/>
        <rFont val="Arial"/>
        <family val="2"/>
      </rPr>
      <t> (±1.3%) [</t>
    </r>
    <r>
      <rPr>
        <b/>
        <sz val="11"/>
        <color rgb="FF008000"/>
        <rFont val="Arial"/>
        <family val="2"/>
      </rPr>
      <t>0.696 – 0.713</t>
    </r>
    <r>
      <rPr>
        <sz val="11"/>
        <color rgb="FF000000"/>
        <rFont val="Arial"/>
        <family val="2"/>
      </rPr>
      <t>]</t>
    </r>
  </si>
  <si>
    <r>
      <t>0.71299231 ±0.00810</t>
    </r>
    <r>
      <rPr>
        <sz val="11"/>
        <color rgb="FF000000"/>
        <rFont val="Arial"/>
        <family val="2"/>
      </rPr>
      <t> (±1.1%) [</t>
    </r>
    <r>
      <rPr>
        <b/>
        <sz val="11"/>
        <color rgb="FF008000"/>
        <rFont val="Arial"/>
        <family val="2"/>
      </rPr>
      <t>0.705 – 0.721</t>
    </r>
    <r>
      <rPr>
        <sz val="11"/>
        <color rgb="FF000000"/>
        <rFont val="Arial"/>
        <family val="2"/>
      </rPr>
      <t>]</t>
    </r>
  </si>
  <si>
    <r>
      <t>0.70558231 ±0.00493</t>
    </r>
    <r>
      <rPr>
        <sz val="11"/>
        <color rgb="FF000000"/>
        <rFont val="Arial"/>
        <family val="2"/>
      </rPr>
      <t> (±0.7%) [</t>
    </r>
    <r>
      <rPr>
        <b/>
        <sz val="11"/>
        <color rgb="FF008000"/>
        <rFont val="Arial"/>
        <family val="2"/>
      </rPr>
      <t>0.701 – 0.711</t>
    </r>
    <r>
      <rPr>
        <sz val="11"/>
        <color rgb="FF000000"/>
        <rFont val="Arial"/>
        <family val="2"/>
      </rPr>
      <t>]</t>
    </r>
  </si>
  <si>
    <r>
      <t>0.7103218 ±0.00453</t>
    </r>
    <r>
      <rPr>
        <sz val="11"/>
        <color rgb="FF000000"/>
        <rFont val="Arial"/>
        <family val="2"/>
      </rPr>
      <t> (±0.6%) [</t>
    </r>
    <r>
      <rPr>
        <b/>
        <sz val="11"/>
        <color rgb="FF008000"/>
        <rFont val="Arial"/>
        <family val="2"/>
      </rPr>
      <t>0.706 – 0.715</t>
    </r>
    <r>
      <rPr>
        <sz val="11"/>
        <color rgb="FF000000"/>
        <rFont val="Arial"/>
        <family val="2"/>
      </rPr>
      <t>]</t>
    </r>
  </si>
  <si>
    <r>
      <t>0.7046585 ±0.00510</t>
    </r>
    <r>
      <rPr>
        <sz val="11"/>
        <color rgb="FF000000"/>
        <rFont val="Arial"/>
        <family val="2"/>
      </rPr>
      <t> (±0.7%) [</t>
    </r>
    <r>
      <rPr>
        <b/>
        <sz val="11"/>
        <color rgb="FF008000"/>
        <rFont val="Arial"/>
        <family val="2"/>
      </rPr>
      <t>0.700 – 0.710</t>
    </r>
    <r>
      <rPr>
        <sz val="11"/>
        <color rgb="FF000000"/>
        <rFont val="Arial"/>
        <family val="2"/>
      </rPr>
      <t>]</t>
    </r>
  </si>
  <si>
    <r>
      <t>0.71718827 ±0.00716</t>
    </r>
    <r>
      <rPr>
        <sz val="11"/>
        <color rgb="FF000000"/>
        <rFont val="Arial"/>
        <family val="2"/>
      </rPr>
      <t> (±1.0%) [</t>
    </r>
    <r>
      <rPr>
        <b/>
        <sz val="11"/>
        <color rgb="FF008000"/>
        <rFont val="Arial"/>
        <family val="2"/>
      </rPr>
      <t>0.710 – 0.724</t>
    </r>
    <r>
      <rPr>
        <sz val="11"/>
        <color rgb="FF000000"/>
        <rFont val="Arial"/>
        <family val="2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</si>
</sst>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1"/>
      <color rgb="FF008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0" xfId="0" applyFont="1" applyFill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164" fontId="3" fillId="2" borderId="0" xfId="0" applyNumberFormat="1" applyFont="1" applyFill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Model</a:t>
            </a:r>
            <a:r>
              <a:rPr lang="nl-NL" baseline="0"/>
              <a:t> performance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0052805951984289"/>
          <c:y val="0.11568580932396536"/>
          <c:w val="0.87819788495989759"/>
          <c:h val="0.72749293668757176"/>
        </c:manualLayout>
      </c:layout>
      <c:barChart>
        <c:barDir val="col"/>
        <c:grouping val="clustered"/>
        <c:varyColors val="0"/>
        <c:ser>
          <c:idx val="0"/>
          <c:order val="0"/>
          <c:tx>
            <c:v>8px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Blad1!$C$9:$F$9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0.69138670597612806</c:v>
                </c:pt>
                <c:pt idx="2">
                  <c:v>0.69282798193263539</c:v>
                </c:pt>
                <c:pt idx="3">
                  <c:v>0.71751463885709565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F-44ED-98EC-441198EC6BB6}"/>
            </c:ext>
          </c:extLst>
        </c:ser>
        <c:ser>
          <c:idx val="1"/>
          <c:order val="1"/>
          <c:tx>
            <c:v>16px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Blad1!$C$19:$F$19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0.70457611183780178</c:v>
                </c:pt>
                <c:pt idx="2">
                  <c:v>0.7129923050196203</c:v>
                </c:pt>
                <c:pt idx="3">
                  <c:v>0.71718826643230638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F-44ED-98EC-441198EC6BB6}"/>
            </c:ext>
          </c:extLst>
        </c:ser>
        <c:ser>
          <c:idx val="2"/>
          <c:order val="2"/>
          <c:tx>
            <c:v>32px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Blad1!$C$2:$F$2</c:f>
              <c:strCache>
                <c:ptCount val="4"/>
                <c:pt idx="0">
                  <c:v>No masking</c:v>
                </c:pt>
                <c:pt idx="1">
                  <c:v>ROI masking</c:v>
                </c:pt>
                <c:pt idx="2">
                  <c:v>Background masking</c:v>
                </c:pt>
                <c:pt idx="3">
                  <c:v>Full masking</c:v>
                </c:pt>
              </c:strCache>
            </c:strRef>
          </c:cat>
          <c:val>
            <c:numRef>
              <c:f>Blad1!$C$29:$F$29</c:f>
              <c:numCache>
                <c:formatCode>General</c:formatCode>
                <c:ptCount val="4"/>
                <c:pt idx="0">
                  <c:v>0.66616610120994069</c:v>
                </c:pt>
                <c:pt idx="1">
                  <c:v>0.70558230972040492</c:v>
                </c:pt>
                <c:pt idx="2">
                  <c:v>0.71032179937867845</c:v>
                </c:pt>
                <c:pt idx="3">
                  <c:v>0.70465850331098723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F-44ED-98EC-441198EC6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42832"/>
        <c:axId val="1009547152"/>
      </c:barChart>
      <c:catAx>
        <c:axId val="10095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Patch size:</a:t>
                </a:r>
              </a:p>
            </c:rich>
          </c:tx>
          <c:layout>
            <c:manualLayout>
              <c:xMode val="edge"/>
              <c:yMode val="edge"/>
              <c:x val="0.31915045412297688"/>
              <c:y val="0.927993408737118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9547152"/>
        <c:crosses val="autoZero"/>
        <c:auto val="1"/>
        <c:lblAlgn val="ctr"/>
        <c:lblOffset val="100"/>
        <c:noMultiLvlLbl val="0"/>
      </c:catAx>
      <c:valAx>
        <c:axId val="1009547152"/>
        <c:scaling>
          <c:orientation val="minMax"/>
          <c:max val="0.72000000000000008"/>
          <c:min val="0.640000000000000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Average AUROC (n=5)</a:t>
                </a:r>
              </a:p>
            </c:rich>
          </c:tx>
          <c:layout>
            <c:manualLayout>
              <c:xMode val="edge"/>
              <c:yMode val="edge"/>
              <c:x val="1.344662562976511E-2"/>
              <c:y val="0.3313225383751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954283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412384</xdr:colOff>
      <xdr:row>32</xdr:row>
      <xdr:rowOff>13681</xdr:rowOff>
    </xdr:from>
    <xdr:to>
      <xdr:col>5</xdr:col>
      <xdr:colOff>1050455</xdr:colOff>
      <xdr:row>52</xdr:row>
      <xdr:rowOff>150734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BDBA3134-CC7A-038F-403B-432DE2764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65981</xdr:colOff>
      <xdr:row>48</xdr:row>
      <xdr:rowOff>43042</xdr:rowOff>
    </xdr:from>
    <xdr:to>
      <xdr:col>13</xdr:col>
      <xdr:colOff>243417</xdr:colOff>
      <xdr:row>77</xdr:row>
      <xdr:rowOff>79677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03611AA-23AB-8F3A-14E3-5C4C82959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53" t="2766" r="5788" b="1835"/>
        <a:stretch>
          <a:fillRect/>
        </a:stretch>
      </xdr:blipFill>
      <xdr:spPr bwMode="auto">
        <a:xfrm>
          <a:off x="9712208" y="9481451"/>
          <a:ext cx="7710845" cy="5561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796924</xdr:colOff>
      <xdr:row>41</xdr:row>
      <xdr:rowOff>58335</xdr:rowOff>
    </xdr:from>
    <xdr:to>
      <xdr:col>12</xdr:col>
      <xdr:colOff>413951</xdr:colOff>
      <xdr:row>46</xdr:row>
      <xdr:rowOff>35444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605C5B25-1485-28A6-0A9B-D4B15059E8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3" t="12309" r="4694" b="12660"/>
        <a:stretch>
          <a:fillRect/>
        </a:stretch>
      </xdr:blipFill>
      <xdr:spPr bwMode="auto">
        <a:xfrm>
          <a:off x="10443151" y="8145926"/>
          <a:ext cx="5643755" cy="946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DA4-B099-435F-873C-2A0A7839A906}">
  <dimension ref="B1:AB42"/>
  <sheetViews>
    <sheetView tabSelected="1" zoomScale="70" zoomScaleNormal="70" workbookViewId="0">
      <selection activeCell="N38" sqref="N38"/>
    </sheetView>
  </sheetViews>
  <sheetFormatPr defaultRowHeight="15" x14ac:dyDescent="0.25"/>
  <cols>
    <col min="1" max="1" width="12.42578125" style="1" customWidth="1"/>
    <col min="2" max="6" width="22.5703125" style="1" customWidth="1"/>
    <col min="7" max="7" width="9.140625" style="1"/>
    <col min="8" max="8" width="10" style="1" customWidth="1"/>
    <col min="9" max="14" width="22.5703125" style="1" customWidth="1"/>
    <col min="15" max="15" width="45.140625" style="1" bestFit="1" customWidth="1"/>
    <col min="16" max="16" width="43.5703125" style="1" customWidth="1"/>
    <col min="17" max="17" width="9.140625" style="1"/>
    <col min="18" max="18" width="45" style="1" customWidth="1"/>
    <col min="19" max="16384" width="9.140625" style="1"/>
  </cols>
  <sheetData>
    <row r="1" spans="2:20" ht="15.75" thickBot="1" x14ac:dyDescent="0.3">
      <c r="O1" s="28"/>
    </row>
    <row r="2" spans="2:20" ht="15.75" thickBot="1" x14ac:dyDescent="0.3">
      <c r="B2" s="2" t="s">
        <v>4</v>
      </c>
      <c r="C2" s="3" t="s">
        <v>9</v>
      </c>
      <c r="D2" s="3" t="s">
        <v>17</v>
      </c>
      <c r="E2" s="3" t="s">
        <v>11</v>
      </c>
      <c r="F2" s="4" t="s">
        <v>10</v>
      </c>
      <c r="H2" s="10"/>
      <c r="I2" s="10"/>
      <c r="J2" s="10"/>
      <c r="K2" s="10"/>
      <c r="L2" s="10"/>
      <c r="M2" s="10"/>
      <c r="N2" s="10"/>
      <c r="O2" s="28"/>
    </row>
    <row r="3" spans="2:20" x14ac:dyDescent="0.25">
      <c r="B3" s="5" t="s">
        <v>0</v>
      </c>
      <c r="C3" s="1">
        <v>0.66801345855133998</v>
      </c>
      <c r="D3" s="1">
        <v>0.68490434924787402</v>
      </c>
      <c r="E3" s="1">
        <v>0.68250286134728499</v>
      </c>
      <c r="F3" s="6">
        <v>0.71492422539241296</v>
      </c>
      <c r="H3" s="10"/>
      <c r="I3" s="13" t="s">
        <v>4</v>
      </c>
      <c r="J3" s="21" t="s">
        <v>9</v>
      </c>
      <c r="K3" s="21" t="s">
        <v>17</v>
      </c>
      <c r="L3" s="21" t="s">
        <v>11</v>
      </c>
      <c r="M3" s="22" t="s">
        <v>10</v>
      </c>
      <c r="N3" s="10"/>
      <c r="O3" s="29" t="s">
        <v>9</v>
      </c>
      <c r="P3" s="27" t="s">
        <v>27</v>
      </c>
    </row>
    <row r="4" spans="2:20" x14ac:dyDescent="0.25">
      <c r="B4" s="5" t="s">
        <v>1</v>
      </c>
      <c r="C4" s="1">
        <v>0.66768517004578098</v>
      </c>
      <c r="D4" s="1">
        <v>0.69941929978744199</v>
      </c>
      <c r="E4" s="1">
        <v>0.69241794064748197</v>
      </c>
      <c r="F4" s="6">
        <v>0.71111888897972497</v>
      </c>
      <c r="H4" s="10"/>
      <c r="I4" s="14" t="s">
        <v>18</v>
      </c>
      <c r="J4" s="23">
        <v>0.66801345855133998</v>
      </c>
      <c r="K4" s="23">
        <v>0.68490434924787402</v>
      </c>
      <c r="L4" s="23">
        <v>0.68250286134728499</v>
      </c>
      <c r="M4" s="24">
        <v>0.71492422539241296</v>
      </c>
      <c r="N4" s="10"/>
      <c r="O4" s="29" t="s">
        <v>17</v>
      </c>
      <c r="P4" s="27" t="s">
        <v>24</v>
      </c>
    </row>
    <row r="5" spans="2:20" x14ac:dyDescent="0.25">
      <c r="B5" s="5" t="s">
        <v>2</v>
      </c>
      <c r="C5" s="1">
        <v>0.68335998814584697</v>
      </c>
      <c r="D5" s="1">
        <v>0.70973164650098097</v>
      </c>
      <c r="E5" s="1">
        <v>0.68860621729888805</v>
      </c>
      <c r="F5" s="6">
        <v>0.72113168839927999</v>
      </c>
      <c r="H5" s="10"/>
      <c r="I5" s="14" t="s">
        <v>19</v>
      </c>
      <c r="J5" s="23">
        <v>0.66768517004578098</v>
      </c>
      <c r="K5" s="23">
        <v>0.69941929978744199</v>
      </c>
      <c r="L5" s="23">
        <v>0.69241794064748197</v>
      </c>
      <c r="M5" s="24">
        <v>0.71111888897972497</v>
      </c>
      <c r="N5" s="10"/>
      <c r="O5" s="29" t="s">
        <v>11</v>
      </c>
      <c r="P5" s="27" t="s">
        <v>25</v>
      </c>
    </row>
    <row r="6" spans="2:20" x14ac:dyDescent="0.25">
      <c r="B6" s="5" t="s">
        <v>7</v>
      </c>
      <c r="C6" s="1">
        <v>0.65524852844996695</v>
      </c>
      <c r="D6" s="1">
        <v>0.67421964417102698</v>
      </c>
      <c r="E6" s="1">
        <v>0.68334465949967305</v>
      </c>
      <c r="F6" s="6">
        <v>0.72506540222367499</v>
      </c>
      <c r="H6" s="10"/>
      <c r="I6" s="14" t="s">
        <v>20</v>
      </c>
      <c r="J6" s="23">
        <v>0.68335998814584697</v>
      </c>
      <c r="K6" s="23">
        <v>0.70973164650098097</v>
      </c>
      <c r="L6" s="23">
        <v>0.68860621729888805</v>
      </c>
      <c r="M6" s="24">
        <v>0.72113168839927999</v>
      </c>
      <c r="N6" s="10"/>
      <c r="O6" s="29" t="s">
        <v>10</v>
      </c>
      <c r="P6" s="27" t="s">
        <v>26</v>
      </c>
    </row>
    <row r="7" spans="2:20" x14ac:dyDescent="0.25">
      <c r="B7" s="5" t="s">
        <v>8</v>
      </c>
      <c r="C7" s="1">
        <v>0.65652336085676899</v>
      </c>
      <c r="D7" s="1">
        <v>0.68865859017331599</v>
      </c>
      <c r="E7" s="1">
        <v>0.71726823086984903</v>
      </c>
      <c r="F7" s="6">
        <v>0.71533298929038502</v>
      </c>
      <c r="H7" s="10"/>
      <c r="I7" s="14" t="s">
        <v>21</v>
      </c>
      <c r="J7" s="23">
        <v>0.65524852844996695</v>
      </c>
      <c r="K7" s="23">
        <v>0.67421964417102698</v>
      </c>
      <c r="L7" s="23">
        <v>0.68334465949967305</v>
      </c>
      <c r="M7" s="24">
        <v>0.72506540222367499</v>
      </c>
      <c r="N7" s="10"/>
      <c r="O7" s="28"/>
    </row>
    <row r="8" spans="2:20" x14ac:dyDescent="0.25">
      <c r="B8" s="5"/>
      <c r="F8" s="6"/>
      <c r="H8" s="10"/>
      <c r="I8" s="14" t="s">
        <v>22</v>
      </c>
      <c r="J8" s="23">
        <v>0.65652336085676899</v>
      </c>
      <c r="K8" s="23">
        <v>0.68865859017331599</v>
      </c>
      <c r="L8" s="23">
        <v>0.71726823086984903</v>
      </c>
      <c r="M8" s="24">
        <v>0.71533298929038502</v>
      </c>
      <c r="N8" s="10"/>
      <c r="O8" s="28"/>
    </row>
    <row r="9" spans="2:20" ht="15.75" thickBot="1" x14ac:dyDescent="0.3">
      <c r="B9" s="7" t="s">
        <v>3</v>
      </c>
      <c r="C9" s="8">
        <f>AVERAGE(C3:C7)</f>
        <v>0.66616610120994069</v>
      </c>
      <c r="D9" s="8">
        <f>AVERAGE(D3:D7)</f>
        <v>0.69138670597612806</v>
      </c>
      <c r="E9" s="8">
        <f>AVERAGE(E3:E7)</f>
        <v>0.69282798193263539</v>
      </c>
      <c r="F9" s="9">
        <f>AVERAGE(F3:F7)</f>
        <v>0.71751463885709565</v>
      </c>
      <c r="H9" s="10"/>
      <c r="I9" s="14"/>
      <c r="J9" s="23"/>
      <c r="K9" s="23"/>
      <c r="L9" s="23"/>
      <c r="M9" s="24"/>
      <c r="N9" s="10"/>
      <c r="O9" s="28"/>
      <c r="R9" s="27" t="s">
        <v>27</v>
      </c>
      <c r="T9" s="1">
        <v>1.15E-2</v>
      </c>
    </row>
    <row r="10" spans="2:20" ht="15.75" thickBot="1" x14ac:dyDescent="0.3">
      <c r="H10" s="10"/>
      <c r="I10" s="15" t="s">
        <v>23</v>
      </c>
      <c r="J10" s="25">
        <f>AVERAGE(J4:J8)</f>
        <v>0.66616610120994069</v>
      </c>
      <c r="K10" s="25">
        <f>AVERAGE(K4:K8)</f>
        <v>0.69138670597612806</v>
      </c>
      <c r="L10" s="25">
        <f>AVERAGE(L4:L8)</f>
        <v>0.69282798193263539</v>
      </c>
      <c r="M10" s="26">
        <f>AVERAGE(M4:M8)</f>
        <v>0.71751463885709565</v>
      </c>
      <c r="N10" s="10"/>
      <c r="O10" s="28"/>
    </row>
    <row r="11" spans="2:20" ht="15.75" thickBot="1" x14ac:dyDescent="0.3">
      <c r="H11" s="10"/>
      <c r="I11" s="10"/>
      <c r="J11" s="23"/>
      <c r="K11" s="23"/>
      <c r="L11" s="23"/>
      <c r="M11" s="23"/>
      <c r="N11" s="10"/>
      <c r="O11" s="28"/>
      <c r="R11" s="27" t="s">
        <v>24</v>
      </c>
      <c r="T11" s="1">
        <v>1.0699999999999999E-2</v>
      </c>
    </row>
    <row r="12" spans="2:20" ht="15.75" thickBot="1" x14ac:dyDescent="0.3">
      <c r="B12" s="2" t="s">
        <v>5</v>
      </c>
      <c r="C12" s="3" t="s">
        <v>9</v>
      </c>
      <c r="D12" s="3" t="s">
        <v>17</v>
      </c>
      <c r="E12" s="3" t="s">
        <v>11</v>
      </c>
      <c r="F12" s="4" t="s">
        <v>10</v>
      </c>
      <c r="H12" s="10"/>
      <c r="I12" s="10"/>
      <c r="J12" s="23"/>
      <c r="K12" s="23"/>
      <c r="L12" s="23"/>
      <c r="M12" s="23"/>
      <c r="N12" s="10"/>
      <c r="O12" s="28"/>
      <c r="R12" s="27" t="s">
        <v>25</v>
      </c>
      <c r="T12" s="1">
        <v>1.12E-2</v>
      </c>
    </row>
    <row r="13" spans="2:20" x14ac:dyDescent="0.25">
      <c r="B13" s="5" t="s">
        <v>0</v>
      </c>
      <c r="C13" s="1">
        <v>0.66801345855133998</v>
      </c>
      <c r="D13" s="1">
        <v>0.71097326684107198</v>
      </c>
      <c r="E13" s="1">
        <v>0.715354704872465</v>
      </c>
      <c r="F13" s="6">
        <v>0.72606942854806999</v>
      </c>
      <c r="H13" s="10"/>
      <c r="I13" s="13" t="s">
        <v>5</v>
      </c>
      <c r="J13" s="21" t="s">
        <v>9</v>
      </c>
      <c r="K13" s="21" t="s">
        <v>17</v>
      </c>
      <c r="L13" s="21" t="s">
        <v>11</v>
      </c>
      <c r="M13" s="22" t="s">
        <v>10</v>
      </c>
      <c r="N13" s="10"/>
      <c r="O13" s="29" t="s">
        <v>9</v>
      </c>
      <c r="P13" s="27" t="s">
        <v>27</v>
      </c>
      <c r="R13" s="27" t="s">
        <v>26</v>
      </c>
      <c r="T13" s="1">
        <v>4.3400000000000001E-3</v>
      </c>
    </row>
    <row r="14" spans="2:20" x14ac:dyDescent="0.25">
      <c r="B14" s="5" t="s">
        <v>1</v>
      </c>
      <c r="C14" s="1">
        <v>0.66768517004578098</v>
      </c>
      <c r="D14" s="1">
        <v>0.70672212230215803</v>
      </c>
      <c r="E14" s="1">
        <v>0.70712960881294895</v>
      </c>
      <c r="F14" s="6">
        <v>0.70232280085022003</v>
      </c>
      <c r="H14" s="10"/>
      <c r="I14" s="14" t="s">
        <v>18</v>
      </c>
      <c r="J14" s="23">
        <v>0.66801345855133998</v>
      </c>
      <c r="K14" s="23">
        <v>0.71097326684107198</v>
      </c>
      <c r="L14" s="23">
        <v>0.715354704872465</v>
      </c>
      <c r="M14" s="24">
        <v>0.72606942854806999</v>
      </c>
      <c r="N14" s="10"/>
      <c r="O14" s="29" t="s">
        <v>17</v>
      </c>
      <c r="P14" s="27" t="s">
        <v>28</v>
      </c>
    </row>
    <row r="15" spans="2:20" x14ac:dyDescent="0.25">
      <c r="B15" s="5" t="s">
        <v>2</v>
      </c>
      <c r="C15" s="1">
        <v>0.68335998814584697</v>
      </c>
      <c r="D15" s="1">
        <v>0.71211141881948903</v>
      </c>
      <c r="E15" s="1">
        <v>0.71700764388489202</v>
      </c>
      <c r="F15" s="6">
        <v>0.71615051708633004</v>
      </c>
      <c r="H15" s="10"/>
      <c r="I15" s="14" t="s">
        <v>19</v>
      </c>
      <c r="J15" s="23">
        <v>0.66768517004578098</v>
      </c>
      <c r="K15" s="23">
        <v>0.70672212230215803</v>
      </c>
      <c r="L15" s="23">
        <v>0.70712960881294895</v>
      </c>
      <c r="M15" s="24">
        <v>0.70232280085022003</v>
      </c>
      <c r="N15" s="10"/>
      <c r="O15" s="29" t="s">
        <v>11</v>
      </c>
      <c r="P15" s="27" t="s">
        <v>29</v>
      </c>
      <c r="R15" s="27" t="s">
        <v>28</v>
      </c>
      <c r="T15" s="1">
        <v>8.8199999999999997E-3</v>
      </c>
    </row>
    <row r="16" spans="2:20" x14ac:dyDescent="0.25">
      <c r="B16" s="5" t="s">
        <v>7</v>
      </c>
      <c r="C16" s="1">
        <v>0.65524852844996695</v>
      </c>
      <c r="D16" s="1">
        <v>0.68482259646827903</v>
      </c>
      <c r="E16" s="1">
        <v>0.69911911379986902</v>
      </c>
      <c r="F16" s="6">
        <v>0.71871678793328897</v>
      </c>
      <c r="H16" s="10"/>
      <c r="I16" s="14" t="s">
        <v>20</v>
      </c>
      <c r="J16" s="23">
        <v>0.68335998814584697</v>
      </c>
      <c r="K16" s="23">
        <v>0.71211141881948903</v>
      </c>
      <c r="L16" s="23">
        <v>0.71700764388489202</v>
      </c>
      <c r="M16" s="24">
        <v>0.71615051708633004</v>
      </c>
      <c r="N16" s="10"/>
      <c r="O16" s="29" t="s">
        <v>10</v>
      </c>
      <c r="P16" s="27" t="s">
        <v>33</v>
      </c>
      <c r="R16" s="27" t="s">
        <v>29</v>
      </c>
      <c r="T16" s="1">
        <v>8.0999999999999996E-3</v>
      </c>
    </row>
    <row r="17" spans="2:28" x14ac:dyDescent="0.25">
      <c r="B17" s="5" t="s">
        <v>8</v>
      </c>
      <c r="C17" s="1">
        <v>0.65652336085676899</v>
      </c>
      <c r="D17" s="1">
        <v>0.70825115475801104</v>
      </c>
      <c r="E17" s="1">
        <v>0.72635045372792595</v>
      </c>
      <c r="F17" s="6">
        <v>0.72268179774362296</v>
      </c>
      <c r="H17" s="10"/>
      <c r="I17" s="14" t="s">
        <v>21</v>
      </c>
      <c r="J17" s="23">
        <v>0.65524852844996695</v>
      </c>
      <c r="K17" s="23">
        <v>0.68482259646827903</v>
      </c>
      <c r="L17" s="23">
        <v>0.69911911379986902</v>
      </c>
      <c r="M17" s="24">
        <v>0.71871678793328897</v>
      </c>
      <c r="N17" s="10"/>
      <c r="O17" s="28"/>
      <c r="R17" s="27" t="s">
        <v>33</v>
      </c>
      <c r="T17" s="1">
        <v>7.1599999999999997E-3</v>
      </c>
    </row>
    <row r="18" spans="2:28" x14ac:dyDescent="0.25">
      <c r="B18" s="5"/>
      <c r="F18" s="6"/>
      <c r="H18" s="10"/>
      <c r="I18" s="14" t="s">
        <v>22</v>
      </c>
      <c r="J18" s="23">
        <v>0.65652336085676899</v>
      </c>
      <c r="K18" s="23">
        <v>0.70825115475801104</v>
      </c>
      <c r="L18" s="23">
        <v>0.72635045372792595</v>
      </c>
      <c r="M18" s="24">
        <v>0.72268179774362296</v>
      </c>
      <c r="N18" s="10"/>
      <c r="O18" s="28"/>
    </row>
    <row r="19" spans="2:28" ht="15.75" thickBot="1" x14ac:dyDescent="0.3">
      <c r="B19" s="7" t="s">
        <v>3</v>
      </c>
      <c r="C19" s="8">
        <f>AVERAGE(C13:C17)</f>
        <v>0.66616610120994069</v>
      </c>
      <c r="D19" s="8">
        <f>AVERAGE(D13:D17)</f>
        <v>0.70457611183780178</v>
      </c>
      <c r="E19" s="8">
        <f>AVERAGE(E13:E17)</f>
        <v>0.7129923050196203</v>
      </c>
      <c r="F19" s="9">
        <f>AVERAGE(F13:F17)</f>
        <v>0.71718826643230638</v>
      </c>
      <c r="H19" s="10"/>
      <c r="I19" s="14"/>
      <c r="J19" s="23"/>
      <c r="K19" s="23"/>
      <c r="L19" s="23"/>
      <c r="M19" s="24"/>
      <c r="N19" s="10"/>
      <c r="O19" s="28"/>
      <c r="R19" s="27" t="s">
        <v>30</v>
      </c>
      <c r="T19" s="1">
        <v>4.9300000000000004E-3</v>
      </c>
    </row>
    <row r="20" spans="2:28" ht="15.75" thickBot="1" x14ac:dyDescent="0.3">
      <c r="H20" s="10"/>
      <c r="I20" s="15" t="s">
        <v>23</v>
      </c>
      <c r="J20" s="25">
        <f>AVERAGE(J14:J18)</f>
        <v>0.66616610120994069</v>
      </c>
      <c r="K20" s="25">
        <f>AVERAGE(K14:K18)</f>
        <v>0.70457611183780178</v>
      </c>
      <c r="L20" s="25">
        <f>AVERAGE(L14:L18)</f>
        <v>0.7129923050196203</v>
      </c>
      <c r="M20" s="26">
        <f>AVERAGE(M14:M18)</f>
        <v>0.71718826643230638</v>
      </c>
      <c r="N20" s="10"/>
      <c r="O20" s="28"/>
      <c r="R20" s="27" t="s">
        <v>31</v>
      </c>
      <c r="T20" s="1">
        <v>4.5300000000000002E-3</v>
      </c>
    </row>
    <row r="21" spans="2:28" ht="15.75" thickBot="1" x14ac:dyDescent="0.3">
      <c r="H21" s="10"/>
      <c r="I21" s="10"/>
      <c r="J21" s="23"/>
      <c r="K21" s="23"/>
      <c r="L21" s="23"/>
      <c r="M21" s="23"/>
      <c r="N21" s="10"/>
      <c r="O21" s="28"/>
      <c r="R21" s="27" t="s">
        <v>32</v>
      </c>
      <c r="T21" s="1">
        <v>5.1000000000000004E-3</v>
      </c>
    </row>
    <row r="22" spans="2:28" ht="15.75" thickBot="1" x14ac:dyDescent="0.3">
      <c r="B22" s="2" t="s">
        <v>6</v>
      </c>
      <c r="C22" s="3" t="s">
        <v>9</v>
      </c>
      <c r="D22" s="3" t="s">
        <v>17</v>
      </c>
      <c r="E22" s="3" t="s">
        <v>11</v>
      </c>
      <c r="F22" s="4" t="s">
        <v>10</v>
      </c>
      <c r="H22" s="10"/>
      <c r="I22" s="10"/>
      <c r="J22" s="23"/>
      <c r="K22" s="23"/>
      <c r="L22" s="23"/>
      <c r="M22" s="23"/>
      <c r="N22" s="10"/>
      <c r="O22" s="28"/>
    </row>
    <row r="23" spans="2:28" x14ac:dyDescent="0.25">
      <c r="B23" s="5" t="s">
        <v>0</v>
      </c>
      <c r="C23" s="1">
        <v>0.66801345855133998</v>
      </c>
      <c r="D23" s="1">
        <v>0.70225382194244601</v>
      </c>
      <c r="E23" s="1">
        <v>0.71652990107913594</v>
      </c>
      <c r="F23" s="6">
        <v>0.70927689666448601</v>
      </c>
      <c r="H23" s="10"/>
      <c r="I23" s="13" t="s">
        <v>6</v>
      </c>
      <c r="J23" s="21" t="s">
        <v>9</v>
      </c>
      <c r="K23" s="21" t="s">
        <v>17</v>
      </c>
      <c r="L23" s="21" t="s">
        <v>11</v>
      </c>
      <c r="M23" s="22" t="s">
        <v>10</v>
      </c>
      <c r="N23" s="10"/>
      <c r="O23" s="29" t="s">
        <v>9</v>
      </c>
      <c r="P23" s="27" t="s">
        <v>27</v>
      </c>
      <c r="T23" s="1">
        <f>AVERAGE(T9:T21)</f>
        <v>7.6380000000000007E-3</v>
      </c>
    </row>
    <row r="24" spans="2:28" x14ac:dyDescent="0.25">
      <c r="B24" s="5" t="s">
        <v>1</v>
      </c>
      <c r="C24" s="1">
        <v>0.66768517004578098</v>
      </c>
      <c r="D24" s="1">
        <v>0.69674189625572203</v>
      </c>
      <c r="E24" s="1">
        <v>0.71303752452583302</v>
      </c>
      <c r="F24" s="6">
        <v>0.70325529349247795</v>
      </c>
      <c r="H24" s="10"/>
      <c r="I24" s="14" t="s">
        <v>18</v>
      </c>
      <c r="J24" s="23">
        <v>0.66801345855133998</v>
      </c>
      <c r="K24" s="23">
        <v>0.70225382194244601</v>
      </c>
      <c r="L24" s="23">
        <v>0.71652990107913594</v>
      </c>
      <c r="M24" s="24">
        <v>0.70927689666448601</v>
      </c>
      <c r="N24" s="10"/>
      <c r="O24" s="29" t="s">
        <v>17</v>
      </c>
      <c r="P24" s="27" t="s">
        <v>30</v>
      </c>
    </row>
    <row r="25" spans="2:28" x14ac:dyDescent="0.25">
      <c r="B25" s="5" t="s">
        <v>2</v>
      </c>
      <c r="C25" s="1">
        <v>0.68335998814584697</v>
      </c>
      <c r="D25" s="1">
        <v>0.710722898953564</v>
      </c>
      <c r="E25" s="1">
        <v>0.71368643721386504</v>
      </c>
      <c r="F25" s="6">
        <v>0.71110228294637001</v>
      </c>
      <c r="H25" s="10"/>
      <c r="I25" s="14" t="s">
        <v>19</v>
      </c>
      <c r="J25" s="23">
        <v>0.66768517004578098</v>
      </c>
      <c r="K25" s="23">
        <v>0.69674189625572203</v>
      </c>
      <c r="L25" s="23">
        <v>0.71303752452583302</v>
      </c>
      <c r="M25" s="24">
        <v>0.70325529349247795</v>
      </c>
      <c r="N25" s="10"/>
      <c r="O25" s="29" t="s">
        <v>11</v>
      </c>
      <c r="P25" s="27" t="s">
        <v>31</v>
      </c>
    </row>
    <row r="26" spans="2:28" x14ac:dyDescent="0.25">
      <c r="B26" s="5" t="s">
        <v>7</v>
      </c>
      <c r="C26" s="1">
        <v>0.65524852844996695</v>
      </c>
      <c r="D26" s="1">
        <v>0.71207692936559797</v>
      </c>
      <c r="E26" s="1">
        <v>0.70359891064421198</v>
      </c>
      <c r="F26" s="6">
        <v>0.69444898626553297</v>
      </c>
      <c r="H26" s="10"/>
      <c r="I26" s="14" t="s">
        <v>20</v>
      </c>
      <c r="J26" s="23">
        <v>0.68335998814584697</v>
      </c>
      <c r="K26" s="23">
        <v>0.710722898953564</v>
      </c>
      <c r="L26" s="23">
        <v>0.71368643721386504</v>
      </c>
      <c r="M26" s="24">
        <v>0.71110228294637001</v>
      </c>
      <c r="N26" s="10"/>
      <c r="O26" s="29" t="s">
        <v>10</v>
      </c>
      <c r="P26" s="27" t="s">
        <v>32</v>
      </c>
    </row>
    <row r="27" spans="2:28" x14ac:dyDescent="0.25">
      <c r="B27" s="5" t="s">
        <v>8</v>
      </c>
      <c r="C27" s="1">
        <v>0.65652336085676899</v>
      </c>
      <c r="D27" s="1">
        <v>0.70611600208469505</v>
      </c>
      <c r="E27" s="1">
        <v>0.70475622343034605</v>
      </c>
      <c r="F27" s="6">
        <v>0.70520905718606897</v>
      </c>
      <c r="H27" s="10"/>
      <c r="I27" s="14" t="s">
        <v>21</v>
      </c>
      <c r="J27" s="23">
        <v>0.65524852844996695</v>
      </c>
      <c r="K27" s="23">
        <v>0.71207692936559797</v>
      </c>
      <c r="L27" s="23">
        <v>0.70359891064421198</v>
      </c>
      <c r="M27" s="24">
        <v>0.69444898626553297</v>
      </c>
      <c r="N27" s="10"/>
      <c r="O27" s="28"/>
    </row>
    <row r="28" spans="2:28" x14ac:dyDescent="0.25">
      <c r="B28" s="5"/>
      <c r="F28" s="6"/>
      <c r="H28" s="10"/>
      <c r="I28" s="14" t="s">
        <v>22</v>
      </c>
      <c r="J28" s="23">
        <v>0.65652336085676899</v>
      </c>
      <c r="K28" s="23">
        <v>0.70611600208469505</v>
      </c>
      <c r="L28" s="23">
        <v>0.70475622343034605</v>
      </c>
      <c r="M28" s="24">
        <v>0.70520905718606897</v>
      </c>
      <c r="N28" s="10"/>
      <c r="O28" s="30"/>
    </row>
    <row r="29" spans="2:28" ht="15.75" thickBot="1" x14ac:dyDescent="0.3">
      <c r="B29" s="7" t="s">
        <v>3</v>
      </c>
      <c r="C29" s="8">
        <f>AVERAGE(C23:C27)</f>
        <v>0.66616610120994069</v>
      </c>
      <c r="D29" s="8">
        <f t="shared" ref="D29:F29" si="0">AVERAGE(D23:D27)</f>
        <v>0.70558230972040492</v>
      </c>
      <c r="E29" s="8">
        <f t="shared" si="0"/>
        <v>0.71032179937867845</v>
      </c>
      <c r="F29" s="9">
        <f t="shared" si="0"/>
        <v>0.70465850331098723</v>
      </c>
      <c r="H29" s="10"/>
      <c r="I29" s="14"/>
      <c r="J29" s="23"/>
      <c r="K29" s="23"/>
      <c r="L29" s="23"/>
      <c r="M29" s="24"/>
      <c r="N29" s="10"/>
      <c r="O29" s="30"/>
      <c r="AB29" s="10"/>
    </row>
    <row r="30" spans="2:28" ht="15.75" thickBot="1" x14ac:dyDescent="0.3">
      <c r="H30" s="10"/>
      <c r="I30" s="15" t="s">
        <v>23</v>
      </c>
      <c r="J30" s="25">
        <f>AVERAGE(J24:J28)</f>
        <v>0.66616610120994069</v>
      </c>
      <c r="K30" s="25">
        <f t="shared" ref="K30:M30" si="1">AVERAGE(K24:K28)</f>
        <v>0.70558230972040492</v>
      </c>
      <c r="L30" s="25">
        <f t="shared" si="1"/>
        <v>0.71032179937867845</v>
      </c>
      <c r="M30" s="26">
        <f t="shared" si="1"/>
        <v>0.70465850331098723</v>
      </c>
      <c r="N30" s="10"/>
    </row>
    <row r="31" spans="2:28" x14ac:dyDescent="0.25">
      <c r="H31" s="10"/>
      <c r="I31" s="10"/>
      <c r="J31" s="10"/>
      <c r="K31" s="10"/>
      <c r="L31" s="10"/>
      <c r="M31" s="10"/>
      <c r="N31" s="10"/>
      <c r="O31" s="30"/>
    </row>
    <row r="32" spans="2:28" x14ac:dyDescent="0.25">
      <c r="O32" s="30"/>
    </row>
    <row r="33" spans="8:15" x14ac:dyDescent="0.25">
      <c r="O33" s="30"/>
    </row>
    <row r="35" spans="8:15" ht="15.75" thickBot="1" x14ac:dyDescent="0.3">
      <c r="H35" s="10"/>
      <c r="I35" s="10"/>
      <c r="J35" s="10"/>
      <c r="K35" s="10"/>
      <c r="L35" s="10"/>
      <c r="M35" s="10"/>
      <c r="N35" s="10"/>
    </row>
    <row r="36" spans="8:15" x14ac:dyDescent="0.25">
      <c r="H36" s="10"/>
      <c r="I36" s="13" t="s">
        <v>13</v>
      </c>
      <c r="J36" s="11" t="s">
        <v>9</v>
      </c>
      <c r="K36" s="11" t="s">
        <v>12</v>
      </c>
      <c r="L36" s="11" t="s">
        <v>11</v>
      </c>
      <c r="M36" s="12" t="s">
        <v>10</v>
      </c>
      <c r="N36" s="10"/>
    </row>
    <row r="37" spans="8:15" x14ac:dyDescent="0.25">
      <c r="H37" s="10"/>
      <c r="I37" s="14" t="s">
        <v>14</v>
      </c>
      <c r="J37" s="16">
        <v>0.66616610120994069</v>
      </c>
      <c r="K37" s="16">
        <v>0.69138670597612806</v>
      </c>
      <c r="L37" s="16">
        <v>0.69282798193263539</v>
      </c>
      <c r="M37" s="20">
        <v>0.71751463885709565</v>
      </c>
      <c r="N37" s="10"/>
    </row>
    <row r="38" spans="8:15" x14ac:dyDescent="0.25">
      <c r="H38" s="10"/>
      <c r="I38" s="14" t="s">
        <v>15</v>
      </c>
      <c r="J38" s="16">
        <v>0.66616610120994069</v>
      </c>
      <c r="K38" s="16">
        <v>0.70457611183780178</v>
      </c>
      <c r="L38" s="16">
        <v>0.7129923050196203</v>
      </c>
      <c r="M38" s="20">
        <v>0.71718826643230638</v>
      </c>
      <c r="N38" s="10"/>
    </row>
    <row r="39" spans="8:15" ht="16.5" customHeight="1" thickBot="1" x14ac:dyDescent="0.3">
      <c r="H39" s="10"/>
      <c r="I39" s="15" t="s">
        <v>16</v>
      </c>
      <c r="J39" s="17">
        <v>0.66616610120994069</v>
      </c>
      <c r="K39" s="17">
        <v>0.70558230972040492</v>
      </c>
      <c r="L39" s="19">
        <v>0.71032179937867845</v>
      </c>
      <c r="M39" s="18">
        <v>0.70465850331098723</v>
      </c>
      <c r="N39" s="10"/>
    </row>
    <row r="40" spans="8:15" ht="16.5" customHeight="1" x14ac:dyDescent="0.25">
      <c r="H40" s="10"/>
      <c r="I40" s="10"/>
      <c r="J40" s="10"/>
      <c r="K40" s="10"/>
      <c r="L40" s="10"/>
      <c r="M40" s="10"/>
      <c r="N40" s="10"/>
    </row>
    <row r="41" spans="8:15" ht="16.5" customHeight="1" x14ac:dyDescent="0.25"/>
    <row r="42" spans="8:15" ht="16.5" customHeight="1" x14ac:dyDescent="0.25"/>
  </sheetData>
  <conditionalFormatting sqref="C9:F9 C19:F19 C29:F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M10 J20:M20 J30:M30">
    <cfRule type="colorScale" priority="1">
      <colorScale>
        <cfvo type="min"/>
        <cfvo type="percentile" val="50"/>
        <cfvo type="max"/>
        <color theme="5" tint="0.59999389629810485"/>
        <color theme="7" tint="0.59999389629810485"/>
        <color theme="9" tint="0.59999389629810485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van Beusekom</dc:creator>
  <cp:lastModifiedBy>Jasper van Beusekom</cp:lastModifiedBy>
  <dcterms:created xsi:type="dcterms:W3CDTF">2025-06-20T18:52:32Z</dcterms:created>
  <dcterms:modified xsi:type="dcterms:W3CDTF">2025-06-24T00:43:06Z</dcterms:modified>
</cp:coreProperties>
</file>