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sper\School\Universiteit\Year_3\Research_Project\Code\anatamae\"/>
    </mc:Choice>
  </mc:AlternateContent>
  <xr:revisionPtr revIDLastSave="0" documentId="13_ncr:1_{3FA41F2B-94BF-4BF8-AB4E-0AAC98146801}" xr6:coauthVersionLast="47" xr6:coauthVersionMax="47" xr10:uidLastSave="{00000000-0000-0000-0000-000000000000}"/>
  <bookViews>
    <workbookView xWindow="-28920" yWindow="9720" windowWidth="29040" windowHeight="15840" xr2:uid="{B468ABB4-7380-47E3-A26D-E113350E4614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65" i="1" l="1"/>
  <c r="F68" i="1"/>
  <c r="E68" i="1"/>
  <c r="D68" i="1"/>
  <c r="C68" i="1"/>
  <c r="F58" i="1"/>
  <c r="E58" i="1"/>
  <c r="D58" i="1"/>
  <c r="C58" i="1"/>
  <c r="F48" i="1"/>
  <c r="E48" i="1"/>
  <c r="D48" i="1"/>
  <c r="C48" i="1"/>
  <c r="F9" i="1"/>
  <c r="D29" i="1"/>
  <c r="E29" i="1"/>
  <c r="F29" i="1"/>
  <c r="C29" i="1"/>
  <c r="D19" i="1"/>
  <c r="E19" i="1"/>
  <c r="F19" i="1"/>
  <c r="C19" i="1"/>
  <c r="D9" i="1"/>
  <c r="E9" i="1"/>
  <c r="C9" i="1"/>
</calcChain>
</file>

<file path=xl/sharedStrings.xml><?xml version="1.0" encoding="utf-8"?>
<sst xmlns="http://schemas.openxmlformats.org/spreadsheetml/2006/main" count="94" uniqueCount="34">
  <si>
    <t>Run1:</t>
  </si>
  <si>
    <t>Run2:</t>
  </si>
  <si>
    <t>Run3:</t>
  </si>
  <si>
    <t xml:space="preserve">Avg: </t>
  </si>
  <si>
    <r>
      <rPr>
        <b/>
        <sz val="11"/>
        <rFont val="Calibri"/>
        <family val="2"/>
        <scheme val="minor"/>
      </rPr>
      <t xml:space="preserve">8px </t>
    </r>
    <r>
      <rPr>
        <sz val="11"/>
        <rFont val="Calibri"/>
        <family val="2"/>
        <scheme val="minor"/>
      </rPr>
      <t>// Strategy:</t>
    </r>
  </si>
  <si>
    <r>
      <rPr>
        <b/>
        <sz val="11"/>
        <rFont val="Calibri"/>
        <family val="2"/>
        <scheme val="minor"/>
      </rPr>
      <t>16px</t>
    </r>
    <r>
      <rPr>
        <sz val="11"/>
        <rFont val="Calibri"/>
        <family val="2"/>
        <scheme val="minor"/>
      </rPr>
      <t xml:space="preserve"> // Strategy:</t>
    </r>
  </si>
  <si>
    <r>
      <rPr>
        <b/>
        <sz val="11"/>
        <rFont val="Calibri"/>
        <family val="2"/>
        <scheme val="minor"/>
      </rPr>
      <t>32px</t>
    </r>
    <r>
      <rPr>
        <sz val="11"/>
        <rFont val="Calibri"/>
        <family val="2"/>
        <scheme val="minor"/>
      </rPr>
      <t xml:space="preserve"> // Strategy:</t>
    </r>
  </si>
  <si>
    <t>Run4:</t>
  </si>
  <si>
    <t>Run5:</t>
  </si>
  <si>
    <t>No masking</t>
  </si>
  <si>
    <t>Full masking</t>
  </si>
  <si>
    <t>Background masking</t>
  </si>
  <si>
    <t xml:space="preserve">ROI masking </t>
  </si>
  <si>
    <t>Patch size</t>
  </si>
  <si>
    <t>8px</t>
  </si>
  <si>
    <t>16px</t>
  </si>
  <si>
    <t>32px</t>
  </si>
  <si>
    <t>ROI masking</t>
  </si>
  <si>
    <t>Run 1</t>
  </si>
  <si>
    <t>Run 2</t>
  </si>
  <si>
    <t>Run 3</t>
  </si>
  <si>
    <t>Run 4</t>
  </si>
  <si>
    <t>Run 5</t>
  </si>
  <si>
    <t xml:space="preserve">Average </t>
  </si>
  <si>
    <r>
      <t>0.69138671 ±0.0107</t>
    </r>
    <r>
      <rPr>
        <sz val="11"/>
        <color rgb="FF000000"/>
        <rFont val="Arial"/>
        <family val="2"/>
      </rPr>
      <t> (±1.5%) [</t>
    </r>
    <r>
      <rPr>
        <b/>
        <sz val="11"/>
        <color rgb="FF008000"/>
        <rFont val="Arial"/>
        <family val="2"/>
      </rPr>
      <t>0.681 – 0.702</t>
    </r>
    <r>
      <rPr>
        <sz val="11"/>
        <color rgb="FF000000"/>
        <rFont val="Arial"/>
        <family val="2"/>
      </rPr>
      <t>]</t>
    </r>
  </si>
  <si>
    <r>
      <t>0.69282798 ±0.0112</t>
    </r>
    <r>
      <rPr>
        <sz val="11"/>
        <color rgb="FF000000"/>
        <rFont val="Arial"/>
        <family val="2"/>
      </rPr>
      <t> (±1.6%) [</t>
    </r>
    <r>
      <rPr>
        <b/>
        <sz val="11"/>
        <color rgb="FF008000"/>
        <rFont val="Arial"/>
        <family val="2"/>
      </rPr>
      <t>0.682 – 0.704</t>
    </r>
    <r>
      <rPr>
        <sz val="11"/>
        <color rgb="FF000000"/>
        <rFont val="Arial"/>
        <family val="2"/>
      </rPr>
      <t>]</t>
    </r>
  </si>
  <si>
    <r>
      <t>0.71751464 ±0.00434</t>
    </r>
    <r>
      <rPr>
        <sz val="11"/>
        <color rgb="FF000000"/>
        <rFont val="Arial"/>
        <family val="2"/>
      </rPr>
      <t> (±0.6%) [</t>
    </r>
    <r>
      <rPr>
        <b/>
        <sz val="11"/>
        <color rgb="FF008000"/>
        <rFont val="Arial"/>
        <family val="2"/>
      </rPr>
      <t>0.713 – 0.722</t>
    </r>
    <r>
      <rPr>
        <sz val="11"/>
        <color rgb="FF000000"/>
        <rFont val="Arial"/>
        <family val="2"/>
      </rPr>
      <t>]</t>
    </r>
  </si>
  <si>
    <r>
      <t>0.714847582 ±0.0115</t>
    </r>
    <r>
      <rPr>
        <sz val="11"/>
        <color rgb="FF000000"/>
        <rFont val="Arial"/>
        <family val="2"/>
      </rPr>
      <t> (±1.6%) [</t>
    </r>
    <r>
      <rPr>
        <b/>
        <sz val="11"/>
        <color rgb="FF008000"/>
        <rFont val="Arial"/>
        <family val="2"/>
      </rPr>
      <t>0.703 – 0.726</t>
    </r>
    <r>
      <rPr>
        <sz val="11"/>
        <color rgb="FF000000"/>
        <rFont val="Arial"/>
        <family val="2"/>
      </rPr>
      <t>]</t>
    </r>
  </si>
  <si>
    <r>
      <t>0.70457611 ±0.00882</t>
    </r>
    <r>
      <rPr>
        <sz val="11"/>
        <color rgb="FF000000"/>
        <rFont val="Arial"/>
        <family val="2"/>
      </rPr>
      <t> (±1.3%) [</t>
    </r>
    <r>
      <rPr>
        <b/>
        <sz val="11"/>
        <color rgb="FF008000"/>
        <rFont val="Arial"/>
        <family val="2"/>
      </rPr>
      <t>0.696 – 0.713</t>
    </r>
    <r>
      <rPr>
        <sz val="11"/>
        <color rgb="FF000000"/>
        <rFont val="Arial"/>
        <family val="2"/>
      </rPr>
      <t>]</t>
    </r>
  </si>
  <si>
    <r>
      <t>0.71299231 ±0.00810</t>
    </r>
    <r>
      <rPr>
        <sz val="11"/>
        <color rgb="FF000000"/>
        <rFont val="Arial"/>
        <family val="2"/>
      </rPr>
      <t> (±1.1%) [</t>
    </r>
    <r>
      <rPr>
        <b/>
        <sz val="11"/>
        <color rgb="FF008000"/>
        <rFont val="Arial"/>
        <family val="2"/>
      </rPr>
      <t>0.705 – 0.721</t>
    </r>
    <r>
      <rPr>
        <sz val="11"/>
        <color rgb="FF000000"/>
        <rFont val="Arial"/>
        <family val="2"/>
      </rPr>
      <t>]</t>
    </r>
  </si>
  <si>
    <r>
      <t>0.70558231 ±0.00493</t>
    </r>
    <r>
      <rPr>
        <sz val="11"/>
        <color rgb="FF000000"/>
        <rFont val="Arial"/>
        <family val="2"/>
      </rPr>
      <t> (±0.7%) [</t>
    </r>
    <r>
      <rPr>
        <b/>
        <sz val="11"/>
        <color rgb="FF008000"/>
        <rFont val="Arial"/>
        <family val="2"/>
      </rPr>
      <t>0.701 – 0.711</t>
    </r>
    <r>
      <rPr>
        <sz val="11"/>
        <color rgb="FF000000"/>
        <rFont val="Arial"/>
        <family val="2"/>
      </rPr>
      <t>]</t>
    </r>
  </si>
  <si>
    <r>
      <t>0.7103218 ±0.00453</t>
    </r>
    <r>
      <rPr>
        <sz val="11"/>
        <color rgb="FF000000"/>
        <rFont val="Arial"/>
        <family val="2"/>
      </rPr>
      <t> (±0.6%) [</t>
    </r>
    <r>
      <rPr>
        <b/>
        <sz val="11"/>
        <color rgb="FF008000"/>
        <rFont val="Arial"/>
        <family val="2"/>
      </rPr>
      <t>0.706 – 0.715</t>
    </r>
    <r>
      <rPr>
        <sz val="11"/>
        <color rgb="FF000000"/>
        <rFont val="Arial"/>
        <family val="2"/>
      </rPr>
      <t>]</t>
    </r>
  </si>
  <si>
    <r>
      <t>0.7046585 ±0.00510</t>
    </r>
    <r>
      <rPr>
        <sz val="11"/>
        <color rgb="FF000000"/>
        <rFont val="Arial"/>
        <family val="2"/>
      </rPr>
      <t> (±0.7%) [</t>
    </r>
    <r>
      <rPr>
        <b/>
        <sz val="11"/>
        <color rgb="FF008000"/>
        <rFont val="Arial"/>
        <family val="2"/>
      </rPr>
      <t>0.700 – 0.710</t>
    </r>
    <r>
      <rPr>
        <sz val="11"/>
        <color rgb="FF000000"/>
        <rFont val="Arial"/>
        <family val="2"/>
      </rPr>
      <t>]</t>
    </r>
  </si>
  <si>
    <r>
      <t>0.71718827 ±0.00716</t>
    </r>
    <r>
      <rPr>
        <sz val="11"/>
        <color rgb="FF000000"/>
        <rFont val="Arial"/>
        <family val="2"/>
      </rPr>
      <t> (±1.0%) [</t>
    </r>
    <r>
      <rPr>
        <b/>
        <sz val="11"/>
        <color rgb="FF008000"/>
        <rFont val="Arial"/>
        <family val="2"/>
      </rPr>
      <t>0.710 – 0.724</t>
    </r>
    <r>
      <rPr>
        <sz val="11"/>
        <color rgb="FF000000"/>
        <rFont val="Arial"/>
        <family val="2"/>
      </rPr>
      <t>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</si>
</sst>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mbria"/>
      <family val="1"/>
    </font>
    <font>
      <b/>
      <sz val="11"/>
      <name val="Cambria"/>
      <family val="1"/>
    </font>
    <font>
      <b/>
      <sz val="11"/>
      <color rgb="FF008000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8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4" xfId="0" applyFont="1" applyBorder="1"/>
    <xf numFmtId="0" fontId="1" fillId="0" borderId="1" xfId="0" applyFont="1" applyBorder="1"/>
    <xf numFmtId="0" fontId="1" fillId="0" borderId="5" xfId="0" applyFont="1" applyBorder="1"/>
    <xf numFmtId="0" fontId="1" fillId="0" borderId="2" xfId="0" applyFont="1" applyBorder="1"/>
    <xf numFmtId="0" fontId="1" fillId="0" borderId="3" xfId="0" applyFont="1" applyBorder="1"/>
    <xf numFmtId="0" fontId="1" fillId="2" borderId="0" xfId="0" applyFont="1" applyFill="1"/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164" fontId="3" fillId="2" borderId="0" xfId="0" applyNumberFormat="1" applyFont="1" applyFill="1" applyAlignment="1">
      <alignment horizontal="center"/>
    </xf>
    <xf numFmtId="164" fontId="3" fillId="2" borderId="2" xfId="0" applyNumberFormat="1" applyFont="1" applyFill="1" applyBorder="1" applyAlignment="1">
      <alignment horizontal="center"/>
    </xf>
    <xf numFmtId="164" fontId="3" fillId="2" borderId="3" xfId="0" applyNumberFormat="1" applyFont="1" applyFill="1" applyBorder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5" fillId="0" borderId="0" xfId="0" applyFont="1"/>
    <xf numFmtId="0" fontId="1" fillId="0" borderId="0" xfId="0" applyNumberFormat="1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Model</a:t>
            </a:r>
            <a:r>
              <a:rPr lang="nl-NL" baseline="0"/>
              <a:t> performance</a:t>
            </a:r>
            <a:endParaRPr lang="nl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0.10052805951984289"/>
          <c:y val="0.11568580932396536"/>
          <c:w val="0.87819788495989759"/>
          <c:h val="0.72749293668757176"/>
        </c:manualLayout>
      </c:layout>
      <c:barChart>
        <c:barDir val="col"/>
        <c:grouping val="clustered"/>
        <c:varyColors val="0"/>
        <c:ser>
          <c:idx val="0"/>
          <c:order val="0"/>
          <c:tx>
            <c:v>8px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Blad1!$C$2:$F$2</c:f>
              <c:strCache>
                <c:ptCount val="4"/>
                <c:pt idx="0">
                  <c:v>No masking</c:v>
                </c:pt>
                <c:pt idx="1">
                  <c:v>ROI masking</c:v>
                </c:pt>
                <c:pt idx="2">
                  <c:v>Background masking</c:v>
                </c:pt>
                <c:pt idx="3">
                  <c:v>Full masking</c:v>
                </c:pt>
              </c:strCache>
            </c:strRef>
          </c:cat>
          <c:val>
            <c:numRef>
              <c:f>Blad1!$C$9:$F$9</c:f>
              <c:numCache>
                <c:formatCode>General</c:formatCode>
                <c:ptCount val="4"/>
                <c:pt idx="0">
                  <c:v>0.66616610120994069</c:v>
                </c:pt>
                <c:pt idx="1">
                  <c:v>0.69138670597612806</c:v>
                </c:pt>
                <c:pt idx="2">
                  <c:v>0.69282798193263539</c:v>
                </c:pt>
                <c:pt idx="3">
                  <c:v>0.71751463885709565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FF-44ED-98EC-441198EC6BB6}"/>
            </c:ext>
          </c:extLst>
        </c:ser>
        <c:ser>
          <c:idx val="1"/>
          <c:order val="1"/>
          <c:tx>
            <c:v>16px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Blad1!$C$2:$F$2</c:f>
              <c:strCache>
                <c:ptCount val="4"/>
                <c:pt idx="0">
                  <c:v>No masking</c:v>
                </c:pt>
                <c:pt idx="1">
                  <c:v>ROI masking</c:v>
                </c:pt>
                <c:pt idx="2">
                  <c:v>Background masking</c:v>
                </c:pt>
                <c:pt idx="3">
                  <c:v>Full masking</c:v>
                </c:pt>
              </c:strCache>
            </c:strRef>
          </c:cat>
          <c:val>
            <c:numRef>
              <c:f>Blad1!$C$19:$F$19</c:f>
              <c:numCache>
                <c:formatCode>General</c:formatCode>
                <c:ptCount val="4"/>
                <c:pt idx="0">
                  <c:v>0.66616610120994069</c:v>
                </c:pt>
                <c:pt idx="1">
                  <c:v>0.70457611183780178</c:v>
                </c:pt>
                <c:pt idx="2">
                  <c:v>0.7129923050196203</c:v>
                </c:pt>
                <c:pt idx="3">
                  <c:v>0.71718826643230638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FF-44ED-98EC-441198EC6BB6}"/>
            </c:ext>
          </c:extLst>
        </c:ser>
        <c:ser>
          <c:idx val="2"/>
          <c:order val="2"/>
          <c:tx>
            <c:v>32px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Blad1!$C$2:$F$2</c:f>
              <c:strCache>
                <c:ptCount val="4"/>
                <c:pt idx="0">
                  <c:v>No masking</c:v>
                </c:pt>
                <c:pt idx="1">
                  <c:v>ROI masking</c:v>
                </c:pt>
                <c:pt idx="2">
                  <c:v>Background masking</c:v>
                </c:pt>
                <c:pt idx="3">
                  <c:v>Full masking</c:v>
                </c:pt>
              </c:strCache>
            </c:strRef>
          </c:cat>
          <c:val>
            <c:numRef>
              <c:f>Blad1!$C$29:$F$29</c:f>
              <c:numCache>
                <c:formatCode>General</c:formatCode>
                <c:ptCount val="4"/>
                <c:pt idx="0">
                  <c:v>0.66616610120994069</c:v>
                </c:pt>
                <c:pt idx="1">
                  <c:v>0.70558230972040492</c:v>
                </c:pt>
                <c:pt idx="2">
                  <c:v>0.71032179937867845</c:v>
                </c:pt>
                <c:pt idx="3">
                  <c:v>0.70465850331098723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FF-44ED-98EC-441198EC6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9542832"/>
        <c:axId val="1009547152"/>
      </c:barChart>
      <c:catAx>
        <c:axId val="1009542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Patch size:</a:t>
                </a:r>
              </a:p>
            </c:rich>
          </c:tx>
          <c:layout>
            <c:manualLayout>
              <c:xMode val="edge"/>
              <c:yMode val="edge"/>
              <c:x val="0.31915045412297688"/>
              <c:y val="0.927993408737118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09547152"/>
        <c:crosses val="autoZero"/>
        <c:auto val="1"/>
        <c:lblAlgn val="ctr"/>
        <c:lblOffset val="100"/>
        <c:noMultiLvlLbl val="0"/>
      </c:catAx>
      <c:valAx>
        <c:axId val="1009547152"/>
        <c:scaling>
          <c:orientation val="minMax"/>
          <c:max val="0.72000000000000008"/>
          <c:min val="0.640000000000000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Average AUROC (n=5)</a:t>
                </a:r>
              </a:p>
            </c:rich>
          </c:tx>
          <c:layout>
            <c:manualLayout>
              <c:xMode val="edge"/>
              <c:yMode val="edge"/>
              <c:x val="1.344662562976511E-2"/>
              <c:y val="0.331322538375140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09542832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395067</xdr:colOff>
      <xdr:row>1</xdr:row>
      <xdr:rowOff>152226</xdr:rowOff>
    </xdr:from>
    <xdr:to>
      <xdr:col>16</xdr:col>
      <xdr:colOff>340410</xdr:colOff>
      <xdr:row>22</xdr:row>
      <xdr:rowOff>185370</xdr:rowOff>
    </xdr:to>
    <xdr:graphicFrame macro="">
      <xdr:nvGraphicFramePr>
        <xdr:cNvPr id="4" name="Grafiek 3">
          <a:extLst>
            <a:ext uri="{FF2B5EF4-FFF2-40B4-BE49-F238E27FC236}">
              <a16:creationId xmlns:a16="http://schemas.microsoft.com/office/drawing/2014/main" id="{BDBA3134-CC7A-038F-403B-432DE27642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04DA4-B099-435F-873C-2A0A7839A906}">
  <dimension ref="A1:T69"/>
  <sheetViews>
    <sheetView tabSelected="1" topLeftCell="M45" zoomScale="145" zoomScaleNormal="145" workbookViewId="0">
      <selection activeCell="S48" sqref="S48"/>
    </sheetView>
  </sheetViews>
  <sheetFormatPr defaultRowHeight="15" x14ac:dyDescent="0.25"/>
  <cols>
    <col min="1" max="1" width="12.42578125" style="1" customWidth="1"/>
    <col min="2" max="6" width="22.42578125" style="1" customWidth="1"/>
    <col min="7" max="7" width="9.140625" style="1"/>
    <col min="8" max="8" width="9.140625" style="1" customWidth="1"/>
    <col min="9" max="9" width="3.85546875" style="1" customWidth="1"/>
    <col min="10" max="10" width="10" style="1" customWidth="1"/>
    <col min="11" max="14" width="18.85546875" style="1" customWidth="1"/>
    <col min="15" max="15" width="4.7109375" style="1" customWidth="1"/>
    <col min="16" max="16" width="9.140625" style="1"/>
    <col min="17" max="17" width="45.140625" style="1" bestFit="1" customWidth="1"/>
    <col min="18" max="19" width="9.140625" style="1"/>
    <col min="20" max="20" width="16.7109375" style="1" bestFit="1" customWidth="1"/>
    <col min="21" max="16384" width="9.140625" style="1"/>
  </cols>
  <sheetData>
    <row r="1" spans="2:6" ht="15.75" thickBot="1" x14ac:dyDescent="0.3"/>
    <row r="2" spans="2:6" x14ac:dyDescent="0.25">
      <c r="B2" s="2" t="s">
        <v>4</v>
      </c>
      <c r="C2" s="3" t="s">
        <v>9</v>
      </c>
      <c r="D2" s="3" t="s">
        <v>17</v>
      </c>
      <c r="E2" s="3" t="s">
        <v>11</v>
      </c>
      <c r="F2" s="4" t="s">
        <v>10</v>
      </c>
    </row>
    <row r="3" spans="2:6" x14ac:dyDescent="0.25">
      <c r="B3" s="5" t="s">
        <v>0</v>
      </c>
      <c r="C3" s="1">
        <v>0.66801345855133998</v>
      </c>
      <c r="D3" s="1">
        <v>0.68490434924787402</v>
      </c>
      <c r="E3" s="1">
        <v>0.68250286134728499</v>
      </c>
      <c r="F3" s="6">
        <v>0.71492422539241296</v>
      </c>
    </row>
    <row r="4" spans="2:6" x14ac:dyDescent="0.25">
      <c r="B4" s="5" t="s">
        <v>1</v>
      </c>
      <c r="C4" s="1">
        <v>0.66768517004578098</v>
      </c>
      <c r="D4" s="1">
        <v>0.69941929978744199</v>
      </c>
      <c r="E4" s="1">
        <v>0.69241794064748197</v>
      </c>
      <c r="F4" s="6">
        <v>0.71111888897972497</v>
      </c>
    </row>
    <row r="5" spans="2:6" x14ac:dyDescent="0.25">
      <c r="B5" s="5" t="s">
        <v>2</v>
      </c>
      <c r="C5" s="1">
        <v>0.68335998814584697</v>
      </c>
      <c r="D5" s="1">
        <v>0.70973164650098097</v>
      </c>
      <c r="E5" s="1">
        <v>0.68860621729888805</v>
      </c>
      <c r="F5" s="6">
        <v>0.72113168839927999</v>
      </c>
    </row>
    <row r="6" spans="2:6" x14ac:dyDescent="0.25">
      <c r="B6" s="5" t="s">
        <v>7</v>
      </c>
      <c r="C6" s="1">
        <v>0.65524852844996695</v>
      </c>
      <c r="D6" s="1">
        <v>0.67421964417102698</v>
      </c>
      <c r="E6" s="1">
        <v>0.68334465949967305</v>
      </c>
      <c r="F6" s="6">
        <v>0.72506540222367499</v>
      </c>
    </row>
    <row r="7" spans="2:6" x14ac:dyDescent="0.25">
      <c r="B7" s="5" t="s">
        <v>8</v>
      </c>
      <c r="C7" s="1">
        <v>0.65652336085676899</v>
      </c>
      <c r="D7" s="1">
        <v>0.68865859017331599</v>
      </c>
      <c r="E7" s="1">
        <v>0.71726823086984903</v>
      </c>
      <c r="F7" s="6">
        <v>0.71533298929038502</v>
      </c>
    </row>
    <row r="8" spans="2:6" x14ac:dyDescent="0.25">
      <c r="B8" s="5"/>
      <c r="F8" s="6"/>
    </row>
    <row r="9" spans="2:6" ht="15.75" thickBot="1" x14ac:dyDescent="0.3">
      <c r="B9" s="7" t="s">
        <v>3</v>
      </c>
      <c r="C9" s="8">
        <f>AVERAGE(C3:C7)</f>
        <v>0.66616610120994069</v>
      </c>
      <c r="D9" s="8">
        <f>AVERAGE(D3:D7)</f>
        <v>0.69138670597612806</v>
      </c>
      <c r="E9" s="8">
        <f>AVERAGE(E3:E7)</f>
        <v>0.69282798193263539</v>
      </c>
      <c r="F9" s="9">
        <f>AVERAGE(F3:F7)</f>
        <v>0.71751463885709565</v>
      </c>
    </row>
    <row r="11" spans="2:6" ht="15.75" thickBot="1" x14ac:dyDescent="0.3"/>
    <row r="12" spans="2:6" x14ac:dyDescent="0.25">
      <c r="B12" s="2" t="s">
        <v>5</v>
      </c>
      <c r="C12" s="3" t="s">
        <v>9</v>
      </c>
      <c r="D12" s="3" t="s">
        <v>17</v>
      </c>
      <c r="E12" s="3" t="s">
        <v>11</v>
      </c>
      <c r="F12" s="4" t="s">
        <v>10</v>
      </c>
    </row>
    <row r="13" spans="2:6" x14ac:dyDescent="0.25">
      <c r="B13" s="5" t="s">
        <v>0</v>
      </c>
      <c r="C13" s="1">
        <v>0.66801345855133998</v>
      </c>
      <c r="D13" s="1">
        <v>0.71097326684107198</v>
      </c>
      <c r="E13" s="1">
        <v>0.715354704872465</v>
      </c>
      <c r="F13" s="6">
        <v>0.72606942854806999</v>
      </c>
    </row>
    <row r="14" spans="2:6" x14ac:dyDescent="0.25">
      <c r="B14" s="5" t="s">
        <v>1</v>
      </c>
      <c r="C14" s="1">
        <v>0.66768517004578098</v>
      </c>
      <c r="D14" s="1">
        <v>0.70672212230215803</v>
      </c>
      <c r="E14" s="1">
        <v>0.70712960881294895</v>
      </c>
      <c r="F14" s="6">
        <v>0.70232280085022003</v>
      </c>
    </row>
    <row r="15" spans="2:6" x14ac:dyDescent="0.25">
      <c r="B15" s="5" t="s">
        <v>2</v>
      </c>
      <c r="C15" s="1">
        <v>0.68335998814584697</v>
      </c>
      <c r="D15" s="1">
        <v>0.71211141881948903</v>
      </c>
      <c r="E15" s="1">
        <v>0.71700764388489202</v>
      </c>
      <c r="F15" s="6">
        <v>0.71615051708633004</v>
      </c>
    </row>
    <row r="16" spans="2:6" x14ac:dyDescent="0.25">
      <c r="B16" s="5" t="s">
        <v>7</v>
      </c>
      <c r="C16" s="1">
        <v>0.65524852844996695</v>
      </c>
      <c r="D16" s="1">
        <v>0.68482259646827903</v>
      </c>
      <c r="E16" s="1">
        <v>0.69911911379986902</v>
      </c>
      <c r="F16" s="6">
        <v>0.71871678793328897</v>
      </c>
    </row>
    <row r="17" spans="2:6" x14ac:dyDescent="0.25">
      <c r="B17" s="5" t="s">
        <v>8</v>
      </c>
      <c r="C17" s="1">
        <v>0.65652336085676899</v>
      </c>
      <c r="D17" s="1">
        <v>0.70825115475801104</v>
      </c>
      <c r="E17" s="1">
        <v>0.72635045372792595</v>
      </c>
      <c r="F17" s="6">
        <v>0.72268179774362296</v>
      </c>
    </row>
    <row r="18" spans="2:6" x14ac:dyDescent="0.25">
      <c r="B18" s="5"/>
      <c r="F18" s="6"/>
    </row>
    <row r="19" spans="2:6" ht="15.75" thickBot="1" x14ac:dyDescent="0.3">
      <c r="B19" s="7" t="s">
        <v>3</v>
      </c>
      <c r="C19" s="8">
        <f>AVERAGE(C13:C17)</f>
        <v>0.66616610120994069</v>
      </c>
      <c r="D19" s="8">
        <f>AVERAGE(D13:D17)</f>
        <v>0.70457611183780178</v>
      </c>
      <c r="E19" s="8">
        <f>AVERAGE(E13:E17)</f>
        <v>0.7129923050196203</v>
      </c>
      <c r="F19" s="9">
        <f>AVERAGE(F13:F17)</f>
        <v>0.71718826643230638</v>
      </c>
    </row>
    <row r="21" spans="2:6" ht="15.75" thickBot="1" x14ac:dyDescent="0.3"/>
    <row r="22" spans="2:6" x14ac:dyDescent="0.25">
      <c r="B22" s="2" t="s">
        <v>6</v>
      </c>
      <c r="C22" s="3" t="s">
        <v>9</v>
      </c>
      <c r="D22" s="3" t="s">
        <v>17</v>
      </c>
      <c r="E22" s="3" t="s">
        <v>11</v>
      </c>
      <c r="F22" s="4" t="s">
        <v>10</v>
      </c>
    </row>
    <row r="23" spans="2:6" x14ac:dyDescent="0.25">
      <c r="B23" s="5" t="s">
        <v>0</v>
      </c>
      <c r="C23" s="1">
        <v>0.66801345855133998</v>
      </c>
      <c r="D23" s="1">
        <v>0.70225382194244601</v>
      </c>
      <c r="E23" s="1">
        <v>0.71652990107913594</v>
      </c>
      <c r="F23" s="6">
        <v>0.70927689666448601</v>
      </c>
    </row>
    <row r="24" spans="2:6" x14ac:dyDescent="0.25">
      <c r="B24" s="5" t="s">
        <v>1</v>
      </c>
      <c r="C24" s="1">
        <v>0.66768517004578098</v>
      </c>
      <c r="D24" s="1">
        <v>0.69674189625572203</v>
      </c>
      <c r="E24" s="1">
        <v>0.71303752452583302</v>
      </c>
      <c r="F24" s="6">
        <v>0.70325529349247795</v>
      </c>
    </row>
    <row r="25" spans="2:6" x14ac:dyDescent="0.25">
      <c r="B25" s="5" t="s">
        <v>2</v>
      </c>
      <c r="C25" s="1">
        <v>0.68335998814584697</v>
      </c>
      <c r="D25" s="1">
        <v>0.710722898953564</v>
      </c>
      <c r="E25" s="1">
        <v>0.71368643721386504</v>
      </c>
      <c r="F25" s="6">
        <v>0.71110228294637001</v>
      </c>
    </row>
    <row r="26" spans="2:6" x14ac:dyDescent="0.25">
      <c r="B26" s="5" t="s">
        <v>7</v>
      </c>
      <c r="C26" s="1">
        <v>0.65524852844996695</v>
      </c>
      <c r="D26" s="1">
        <v>0.71207692936559797</v>
      </c>
      <c r="E26" s="1">
        <v>0.70359891064421198</v>
      </c>
      <c r="F26" s="6">
        <v>0.69444898626553297</v>
      </c>
    </row>
    <row r="27" spans="2:6" x14ac:dyDescent="0.25">
      <c r="B27" s="5" t="s">
        <v>8</v>
      </c>
      <c r="C27" s="1">
        <v>0.65652336085676899</v>
      </c>
      <c r="D27" s="1">
        <v>0.70611600208469505</v>
      </c>
      <c r="E27" s="1">
        <v>0.70475622343034605</v>
      </c>
      <c r="F27" s="6">
        <v>0.70520905718606897</v>
      </c>
    </row>
    <row r="28" spans="2:6" x14ac:dyDescent="0.25">
      <c r="B28" s="5"/>
      <c r="F28" s="6"/>
    </row>
    <row r="29" spans="2:6" ht="15.75" thickBot="1" x14ac:dyDescent="0.3">
      <c r="B29" s="7" t="s">
        <v>3</v>
      </c>
      <c r="C29" s="8">
        <f>AVERAGE(C23:C27)</f>
        <v>0.66616610120994069</v>
      </c>
      <c r="D29" s="8">
        <f t="shared" ref="D29:F29" si="0">AVERAGE(D23:D27)</f>
        <v>0.70558230972040492</v>
      </c>
      <c r="E29" s="8">
        <f t="shared" si="0"/>
        <v>0.71032179937867845</v>
      </c>
      <c r="F29" s="9">
        <f t="shared" si="0"/>
        <v>0.70465850331098723</v>
      </c>
    </row>
    <row r="35" spans="1:15" x14ac:dyDescent="0.25">
      <c r="D35" s="27" t="s">
        <v>24</v>
      </c>
    </row>
    <row r="36" spans="1:15" x14ac:dyDescent="0.25">
      <c r="E36" s="27" t="s">
        <v>25</v>
      </c>
    </row>
    <row r="37" spans="1:15" x14ac:dyDescent="0.25">
      <c r="F37" s="27" t="s">
        <v>26</v>
      </c>
    </row>
    <row r="38" spans="1:15" ht="15.75" thickBot="1" x14ac:dyDescent="0.3">
      <c r="I38" s="10"/>
      <c r="J38" s="10"/>
      <c r="K38" s="10"/>
      <c r="L38" s="10"/>
      <c r="M38" s="10"/>
      <c r="N38" s="10"/>
      <c r="O38" s="10"/>
    </row>
    <row r="39" spans="1:15" ht="16.5" customHeight="1" x14ac:dyDescent="0.25">
      <c r="I39" s="10"/>
      <c r="J39" s="13" t="s">
        <v>13</v>
      </c>
      <c r="K39" s="11" t="s">
        <v>9</v>
      </c>
      <c r="L39" s="11" t="s">
        <v>12</v>
      </c>
      <c r="M39" s="11" t="s">
        <v>11</v>
      </c>
      <c r="N39" s="12" t="s">
        <v>10</v>
      </c>
      <c r="O39" s="10"/>
    </row>
    <row r="40" spans="1:15" ht="16.5" customHeight="1" thickBot="1" x14ac:dyDescent="0.3">
      <c r="A40" s="10"/>
      <c r="B40" s="10"/>
      <c r="C40" s="10"/>
      <c r="D40" s="10"/>
      <c r="E40" s="10"/>
      <c r="F40" s="10"/>
      <c r="G40" s="10"/>
      <c r="I40" s="10"/>
      <c r="J40" s="14" t="s">
        <v>14</v>
      </c>
      <c r="K40" s="16">
        <v>0.66616610120994069</v>
      </c>
      <c r="L40" s="16">
        <v>0.69138670597612806</v>
      </c>
      <c r="M40" s="16">
        <v>0.69282798193263539</v>
      </c>
      <c r="N40" s="20">
        <v>0.71751463885709565</v>
      </c>
      <c r="O40" s="10"/>
    </row>
    <row r="41" spans="1:15" ht="16.5" customHeight="1" x14ac:dyDescent="0.25">
      <c r="A41" s="10"/>
      <c r="B41" s="13" t="s">
        <v>4</v>
      </c>
      <c r="C41" s="21" t="s">
        <v>9</v>
      </c>
      <c r="D41" s="21" t="s">
        <v>17</v>
      </c>
      <c r="E41" s="21" t="s">
        <v>11</v>
      </c>
      <c r="F41" s="22" t="s">
        <v>10</v>
      </c>
      <c r="G41" s="10"/>
      <c r="I41" s="10"/>
      <c r="J41" s="14" t="s">
        <v>15</v>
      </c>
      <c r="K41" s="16">
        <v>0.66616610120994069</v>
      </c>
      <c r="L41" s="16">
        <v>0.70457611183780178</v>
      </c>
      <c r="M41" s="16">
        <v>0.7129923050196203</v>
      </c>
      <c r="N41" s="20">
        <v>0.71718826643230638</v>
      </c>
      <c r="O41" s="10"/>
    </row>
    <row r="42" spans="1:15" ht="16.5" customHeight="1" thickBot="1" x14ac:dyDescent="0.3">
      <c r="A42" s="10"/>
      <c r="B42" s="14" t="s">
        <v>18</v>
      </c>
      <c r="C42" s="23">
        <v>0.66801345855133998</v>
      </c>
      <c r="D42" s="23">
        <v>0.68490434924787402</v>
      </c>
      <c r="E42" s="23">
        <v>0.68250286134728499</v>
      </c>
      <c r="F42" s="24">
        <v>0.71492422539241296</v>
      </c>
      <c r="G42" s="10"/>
      <c r="I42" s="10"/>
      <c r="J42" s="15" t="s">
        <v>16</v>
      </c>
      <c r="K42" s="17">
        <v>0.66616610120994069</v>
      </c>
      <c r="L42" s="17">
        <v>0.70558230972040492</v>
      </c>
      <c r="M42" s="19">
        <v>0.71032179937867845</v>
      </c>
      <c r="N42" s="18">
        <v>0.70465850331098723</v>
      </c>
      <c r="O42" s="10"/>
    </row>
    <row r="43" spans="1:15" x14ac:dyDescent="0.25">
      <c r="A43" s="10"/>
      <c r="B43" s="14" t="s">
        <v>19</v>
      </c>
      <c r="C43" s="23">
        <v>0.66768517004578098</v>
      </c>
      <c r="D43" s="23">
        <v>0.69941929978744199</v>
      </c>
      <c r="E43" s="23">
        <v>0.69241794064748197</v>
      </c>
      <c r="F43" s="24">
        <v>0.71111888897972497</v>
      </c>
      <c r="G43" s="10"/>
      <c r="I43" s="10"/>
      <c r="J43" s="10"/>
      <c r="K43" s="10"/>
      <c r="L43" s="10"/>
      <c r="M43" s="10"/>
      <c r="N43" s="10"/>
      <c r="O43" s="10"/>
    </row>
    <row r="44" spans="1:15" x14ac:dyDescent="0.25">
      <c r="A44" s="10"/>
      <c r="B44" s="14" t="s">
        <v>20</v>
      </c>
      <c r="C44" s="23">
        <v>0.68335998814584697</v>
      </c>
      <c r="D44" s="23">
        <v>0.70973164650098097</v>
      </c>
      <c r="E44" s="23">
        <v>0.68860621729888805</v>
      </c>
      <c r="F44" s="24">
        <v>0.72113168839927999</v>
      </c>
      <c r="G44" s="10"/>
      <c r="I44" s="10"/>
    </row>
    <row r="45" spans="1:15" x14ac:dyDescent="0.25">
      <c r="A45" s="10"/>
      <c r="B45" s="14" t="s">
        <v>21</v>
      </c>
      <c r="C45" s="23">
        <v>0.65524852844996695</v>
      </c>
      <c r="D45" s="23">
        <v>0.67421964417102698</v>
      </c>
      <c r="E45" s="23">
        <v>0.68334465949967305</v>
      </c>
      <c r="F45" s="24">
        <v>0.72506540222367499</v>
      </c>
      <c r="G45" s="10"/>
    </row>
    <row r="46" spans="1:15" x14ac:dyDescent="0.25">
      <c r="A46" s="10"/>
      <c r="B46" s="14" t="s">
        <v>22</v>
      </c>
      <c r="C46" s="23">
        <v>0.65652336085676899</v>
      </c>
      <c r="D46" s="23">
        <v>0.68865859017331599</v>
      </c>
      <c r="E46" s="23">
        <v>0.71726823086984903</v>
      </c>
      <c r="F46" s="24">
        <v>0.71533298929038502</v>
      </c>
      <c r="G46" s="10"/>
    </row>
    <row r="47" spans="1:15" x14ac:dyDescent="0.25">
      <c r="A47" s="10"/>
      <c r="B47" s="14"/>
      <c r="C47" s="23"/>
      <c r="D47" s="23"/>
      <c r="E47" s="23"/>
      <c r="F47" s="24"/>
      <c r="G47" s="10"/>
    </row>
    <row r="48" spans="1:15" ht="15.75" thickBot="1" x14ac:dyDescent="0.3">
      <c r="A48" s="10"/>
      <c r="B48" s="15" t="s">
        <v>23</v>
      </c>
      <c r="C48" s="25">
        <f>AVERAGE(C42:C46)</f>
        <v>0.66616610120994069</v>
      </c>
      <c r="D48" s="25">
        <f>AVERAGE(D42:D46)</f>
        <v>0.69138670597612806</v>
      </c>
      <c r="E48" s="25">
        <f>AVERAGE(E42:E46)</f>
        <v>0.69282798193263539</v>
      </c>
      <c r="F48" s="26">
        <f>AVERAGE(F42:F46)</f>
        <v>0.71751463885709565</v>
      </c>
      <c r="G48" s="10"/>
    </row>
    <row r="49" spans="1:20" x14ac:dyDescent="0.25">
      <c r="A49" s="10"/>
      <c r="B49" s="10"/>
      <c r="C49" s="23"/>
      <c r="D49" s="23"/>
      <c r="E49" s="23"/>
      <c r="F49" s="23"/>
      <c r="G49" s="10"/>
    </row>
    <row r="50" spans="1:20" ht="15.75" thickBot="1" x14ac:dyDescent="0.3">
      <c r="A50" s="10"/>
      <c r="B50" s="10"/>
      <c r="C50" s="23"/>
      <c r="D50" s="23"/>
      <c r="E50" s="23"/>
      <c r="F50" s="23"/>
      <c r="G50" s="10"/>
    </row>
    <row r="51" spans="1:20" x14ac:dyDescent="0.25">
      <c r="A51" s="10"/>
      <c r="B51" s="13" t="s">
        <v>5</v>
      </c>
      <c r="C51" s="21" t="s">
        <v>9</v>
      </c>
      <c r="D51" s="21" t="s">
        <v>17</v>
      </c>
      <c r="E51" s="21" t="s">
        <v>11</v>
      </c>
      <c r="F51" s="22" t="s">
        <v>10</v>
      </c>
      <c r="G51" s="10"/>
      <c r="J51" s="27" t="s">
        <v>27</v>
      </c>
    </row>
    <row r="52" spans="1:20" x14ac:dyDescent="0.25">
      <c r="A52" s="10"/>
      <c r="B52" s="14" t="s">
        <v>18</v>
      </c>
      <c r="C52" s="23">
        <v>0.66801345855133998</v>
      </c>
      <c r="D52" s="23">
        <v>0.71097326684107198</v>
      </c>
      <c r="E52" s="23">
        <v>0.715354704872465</v>
      </c>
      <c r="F52" s="24">
        <v>0.72606942854806999</v>
      </c>
      <c r="G52" s="10"/>
      <c r="J52" s="27" t="s">
        <v>28</v>
      </c>
    </row>
    <row r="53" spans="1:20" x14ac:dyDescent="0.25">
      <c r="A53" s="10"/>
      <c r="B53" s="14" t="s">
        <v>19</v>
      </c>
      <c r="C53" s="23">
        <v>0.66768517004578098</v>
      </c>
      <c r="D53" s="23">
        <v>0.70672212230215803</v>
      </c>
      <c r="E53" s="23">
        <v>0.70712960881294895</v>
      </c>
      <c r="F53" s="24">
        <v>0.70232280085022003</v>
      </c>
      <c r="G53" s="10"/>
      <c r="J53" s="27" t="s">
        <v>29</v>
      </c>
      <c r="Q53" s="27" t="s">
        <v>24</v>
      </c>
    </row>
    <row r="54" spans="1:20" x14ac:dyDescent="0.25">
      <c r="A54" s="10"/>
      <c r="B54" s="14" t="s">
        <v>20</v>
      </c>
      <c r="C54" s="23">
        <v>0.68335998814584697</v>
      </c>
      <c r="D54" s="23">
        <v>0.71211141881948903</v>
      </c>
      <c r="E54" s="23">
        <v>0.71700764388489202</v>
      </c>
      <c r="F54" s="24">
        <v>0.71615051708633004</v>
      </c>
      <c r="G54" s="10"/>
      <c r="J54" s="27" t="s">
        <v>33</v>
      </c>
      <c r="Q54" s="27" t="s">
        <v>25</v>
      </c>
    </row>
    <row r="55" spans="1:20" x14ac:dyDescent="0.25">
      <c r="A55" s="10"/>
      <c r="B55" s="14" t="s">
        <v>21</v>
      </c>
      <c r="C55" s="23">
        <v>0.65524852844996695</v>
      </c>
      <c r="D55" s="23">
        <v>0.68482259646827903</v>
      </c>
      <c r="E55" s="23">
        <v>0.69911911379986902</v>
      </c>
      <c r="F55" s="24">
        <v>0.71871678793328897</v>
      </c>
      <c r="G55" s="10"/>
      <c r="Q55" s="27" t="s">
        <v>26</v>
      </c>
      <c r="T55" s="1">
        <v>1.0699999999999999E-2</v>
      </c>
    </row>
    <row r="56" spans="1:20" x14ac:dyDescent="0.25">
      <c r="A56" s="10"/>
      <c r="B56" s="14" t="s">
        <v>22</v>
      </c>
      <c r="C56" s="23">
        <v>0.65652336085676899</v>
      </c>
      <c r="D56" s="23">
        <v>0.70825115475801104</v>
      </c>
      <c r="E56" s="23">
        <v>0.72635045372792595</v>
      </c>
      <c r="F56" s="24">
        <v>0.72268179774362296</v>
      </c>
      <c r="G56" s="10"/>
      <c r="T56" s="1">
        <v>1.12E-2</v>
      </c>
    </row>
    <row r="57" spans="1:20" x14ac:dyDescent="0.25">
      <c r="A57" s="10"/>
      <c r="B57" s="14"/>
      <c r="C57" s="23"/>
      <c r="D57" s="23"/>
      <c r="E57" s="23"/>
      <c r="F57" s="24"/>
      <c r="G57" s="10"/>
      <c r="Q57" s="27" t="s">
        <v>27</v>
      </c>
      <c r="T57" s="1">
        <v>4.3400000000000001E-3</v>
      </c>
    </row>
    <row r="58" spans="1:20" ht="15.75" thickBot="1" x14ac:dyDescent="0.3">
      <c r="A58" s="10"/>
      <c r="B58" s="15" t="s">
        <v>23</v>
      </c>
      <c r="C58" s="25">
        <f>AVERAGE(C52:C56)</f>
        <v>0.66616610120994069</v>
      </c>
      <c r="D58" s="25">
        <f>AVERAGE(D52:D56)</f>
        <v>0.70457611183780178</v>
      </c>
      <c r="E58" s="25">
        <f>AVERAGE(E52:E56)</f>
        <v>0.7129923050196203</v>
      </c>
      <c r="F58" s="26">
        <f>AVERAGE(F52:F56)</f>
        <v>0.71718826643230638</v>
      </c>
      <c r="G58" s="10"/>
      <c r="T58" s="1">
        <v>1.15E-2</v>
      </c>
    </row>
    <row r="59" spans="1:20" x14ac:dyDescent="0.25">
      <c r="A59" s="10"/>
      <c r="B59" s="10"/>
      <c r="C59" s="23"/>
      <c r="D59" s="23"/>
      <c r="E59" s="23"/>
      <c r="F59" s="23"/>
      <c r="G59" s="10"/>
      <c r="Q59" s="27" t="s">
        <v>28</v>
      </c>
      <c r="T59" s="1">
        <v>8.8199999999999997E-3</v>
      </c>
    </row>
    <row r="60" spans="1:20" ht="15.75" thickBot="1" x14ac:dyDescent="0.3">
      <c r="A60" s="10"/>
      <c r="B60" s="10"/>
      <c r="C60" s="23"/>
      <c r="D60" s="23"/>
      <c r="E60" s="23"/>
      <c r="F60" s="23"/>
      <c r="G60" s="10"/>
      <c r="Q60" s="27" t="s">
        <v>29</v>
      </c>
      <c r="T60" s="1">
        <v>8.0999999999999996E-3</v>
      </c>
    </row>
    <row r="61" spans="1:20" x14ac:dyDescent="0.25">
      <c r="A61" s="10"/>
      <c r="B61" s="13" t="s">
        <v>6</v>
      </c>
      <c r="C61" s="21" t="s">
        <v>9</v>
      </c>
      <c r="D61" s="21" t="s">
        <v>17</v>
      </c>
      <c r="E61" s="21" t="s">
        <v>11</v>
      </c>
      <c r="F61" s="22" t="s">
        <v>10</v>
      </c>
      <c r="G61" s="10"/>
      <c r="Q61" s="27" t="s">
        <v>33</v>
      </c>
      <c r="T61" s="1">
        <v>7.1599999999999997E-3</v>
      </c>
    </row>
    <row r="62" spans="1:20" x14ac:dyDescent="0.25">
      <c r="A62" s="10"/>
      <c r="B62" s="14" t="s">
        <v>18</v>
      </c>
      <c r="C62" s="23">
        <v>0.66801345855133998</v>
      </c>
      <c r="D62" s="23">
        <v>0.70225382194244601</v>
      </c>
      <c r="E62" s="23">
        <v>0.71652990107913594</v>
      </c>
      <c r="F62" s="24">
        <v>0.70927689666448601</v>
      </c>
      <c r="G62" s="10"/>
      <c r="J62" s="27" t="s">
        <v>30</v>
      </c>
      <c r="T62" s="1">
        <v>4.9300000000000004E-3</v>
      </c>
    </row>
    <row r="63" spans="1:20" x14ac:dyDescent="0.25">
      <c r="A63" s="10"/>
      <c r="B63" s="14" t="s">
        <v>19</v>
      </c>
      <c r="C63" s="23">
        <v>0.66768517004578098</v>
      </c>
      <c r="D63" s="23">
        <v>0.69674189625572203</v>
      </c>
      <c r="E63" s="23">
        <v>0.71303752452583302</v>
      </c>
      <c r="F63" s="24">
        <v>0.70325529349247795</v>
      </c>
      <c r="G63" s="10"/>
      <c r="J63" s="27" t="s">
        <v>31</v>
      </c>
      <c r="T63" s="28">
        <v>4.5300000000000002E-3</v>
      </c>
    </row>
    <row r="64" spans="1:20" x14ac:dyDescent="0.25">
      <c r="A64" s="10"/>
      <c r="B64" s="14" t="s">
        <v>20</v>
      </c>
      <c r="C64" s="23">
        <v>0.68335998814584697</v>
      </c>
      <c r="D64" s="23">
        <v>0.710722898953564</v>
      </c>
      <c r="E64" s="23">
        <v>0.71368643721386504</v>
      </c>
      <c r="F64" s="24">
        <v>0.71110228294637001</v>
      </c>
      <c r="G64" s="10"/>
      <c r="J64" s="27" t="s">
        <v>32</v>
      </c>
      <c r="Q64" s="27" t="s">
        <v>30</v>
      </c>
      <c r="T64" s="1">
        <v>5.1000000000000004E-3</v>
      </c>
    </row>
    <row r="65" spans="1:20" x14ac:dyDescent="0.25">
      <c r="A65" s="10"/>
      <c r="B65" s="14" t="s">
        <v>21</v>
      </c>
      <c r="C65" s="23">
        <v>0.65524852844996695</v>
      </c>
      <c r="D65" s="23">
        <v>0.71207692936559797</v>
      </c>
      <c r="E65" s="23">
        <v>0.70359891064421198</v>
      </c>
      <c r="F65" s="24">
        <v>0.69444898626553297</v>
      </c>
      <c r="G65" s="10"/>
      <c r="Q65" s="27" t="s">
        <v>31</v>
      </c>
      <c r="T65" s="1">
        <f>AVERAGE(T55:T64)</f>
        <v>7.6380000000000007E-3</v>
      </c>
    </row>
    <row r="66" spans="1:20" x14ac:dyDescent="0.25">
      <c r="A66" s="10"/>
      <c r="B66" s="14" t="s">
        <v>22</v>
      </c>
      <c r="C66" s="23">
        <v>0.65652336085676899</v>
      </c>
      <c r="D66" s="23">
        <v>0.70611600208469505</v>
      </c>
      <c r="E66" s="23">
        <v>0.70475622343034605</v>
      </c>
      <c r="F66" s="24">
        <v>0.70520905718606897</v>
      </c>
      <c r="G66" s="10"/>
      <c r="Q66" s="27" t="s">
        <v>32</v>
      </c>
    </row>
    <row r="67" spans="1:20" x14ac:dyDescent="0.25">
      <c r="A67" s="10"/>
      <c r="B67" s="14"/>
      <c r="C67" s="23"/>
      <c r="D67" s="23"/>
      <c r="E67" s="23"/>
      <c r="F67" s="24"/>
      <c r="G67" s="10"/>
    </row>
    <row r="68" spans="1:20" ht="15.75" thickBot="1" x14ac:dyDescent="0.3">
      <c r="A68" s="10"/>
      <c r="B68" s="15" t="s">
        <v>23</v>
      </c>
      <c r="C68" s="25">
        <f>AVERAGE(C62:C66)</f>
        <v>0.66616610120994069</v>
      </c>
      <c r="D68" s="25">
        <f t="shared" ref="D68:F68" si="1">AVERAGE(D62:D66)</f>
        <v>0.70558230972040492</v>
      </c>
      <c r="E68" s="25">
        <f t="shared" si="1"/>
        <v>0.71032179937867845</v>
      </c>
      <c r="F68" s="26">
        <f t="shared" si="1"/>
        <v>0.70465850331098723</v>
      </c>
      <c r="G68" s="10"/>
    </row>
    <row r="69" spans="1:20" x14ac:dyDescent="0.25">
      <c r="A69" s="10"/>
      <c r="B69" s="10"/>
      <c r="C69" s="10"/>
      <c r="D69" s="10"/>
      <c r="E69" s="10"/>
      <c r="F69" s="10"/>
      <c r="G69" s="10"/>
    </row>
  </sheetData>
  <conditionalFormatting sqref="C9:F9 C19:F19 C29:F2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8:F48 C58:F58 C68:F6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Jasper van Beusekom</dc:creator>
  <cp:lastModifiedBy>Jasper van Beusekom</cp:lastModifiedBy>
  <dcterms:created xsi:type="dcterms:W3CDTF">2025-06-20T18:52:32Z</dcterms:created>
  <dcterms:modified xsi:type="dcterms:W3CDTF">2025-06-21T20:22:22Z</dcterms:modified>
</cp:coreProperties>
</file>